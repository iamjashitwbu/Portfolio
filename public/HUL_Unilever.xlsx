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Jashit\Excel project\HUL DCF\"/>
    </mc:Choice>
  </mc:AlternateContent>
  <xr:revisionPtr revIDLastSave="0" documentId="13_ncr:1_{A06CE1FD-3999-46A1-A7B1-886715F176ED}" xr6:coauthVersionLast="47" xr6:coauthVersionMax="47" xr10:uidLastSave="{00000000-0000-0000-0000-000000000000}"/>
  <bookViews>
    <workbookView xWindow="5220" yWindow="4056" windowWidth="13152" windowHeight="8880" tabRatio="960" firstSheet="6" activeTab="12" xr2:uid="{00000000-000D-0000-FFFF-FFFF00000000}"/>
  </bookViews>
  <sheets>
    <sheet name="Financials&gt;" sheetId="7" r:id="rId1"/>
    <sheet name="HistoricalFS" sheetId="8" r:id="rId2"/>
    <sheet name="Common Size Statement" sheetId="12" r:id="rId3"/>
    <sheet name="Ratio Analysis" sheetId="11" r:id="rId4"/>
    <sheet name="Forecasting" sheetId="15" r:id="rId5"/>
    <sheet name="DCF&gt;" sheetId="16" r:id="rId6"/>
    <sheet name="DCF" sheetId="26" r:id="rId7"/>
    <sheet name="WACC" sheetId="17" r:id="rId8"/>
    <sheet name="Beta - Regression" sheetId="19" r:id="rId9"/>
    <sheet name="Intrinsic Growth" sheetId="24" r:id="rId10"/>
    <sheet name="RM" sheetId="23" r:id="rId11"/>
    <sheet name="Football Field" sheetId="28" r:id="rId12"/>
    <sheet name="Comps Val" sheetId="13" r:id="rId13"/>
    <sheet name="Data&gt;" sheetId="9" r:id="rId14"/>
    <sheet name="Data Sheet" sheetId="6" r:id="rId15"/>
    <sheet name="Raw FS" sheetId="22" r:id="rId16"/>
    <sheet name="Cash Flow Data" sheetId="10" r:id="rId17"/>
    <sheet name="Data Sheet Beta" sheetId="21" r:id="rId18"/>
    <sheet name="Beta - Comps" sheetId="20" r:id="rId19"/>
    <sheet name="Data Sheet Relative Valuation" sheetId="27" r:id="rId20"/>
  </sheets>
  <externalReferences>
    <externalReference r:id="rId21"/>
  </externalReferences>
  <definedNames>
    <definedName name="_xlnm._FilterDatabase" localSheetId="18" hidden="1">'Beta - Comps'!$B$2:$G$17</definedName>
    <definedName name="_xlnm._FilterDatabase" localSheetId="8" hidden="1">'Beta - Regression'!$B$449:$D$555</definedName>
    <definedName name="_xlnm._FilterDatabase" localSheetId="17" hidden="1">'Data Sheet Beta'!$N$2:$P$2</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6" l="1"/>
  <c r="I5" i="26"/>
  <c r="H5" i="26"/>
  <c r="G5" i="26"/>
  <c r="F5" i="26"/>
  <c r="E5" i="26"/>
  <c r="J4" i="26"/>
  <c r="I4" i="26"/>
  <c r="H4" i="26"/>
  <c r="G4" i="26"/>
  <c r="F4" i="26"/>
  <c r="E4" i="26"/>
  <c r="P7" i="28"/>
  <c r="N7" i="28"/>
  <c r="P5" i="28"/>
  <c r="N5" i="28"/>
  <c r="P6" i="28"/>
  <c r="N6" i="28"/>
  <c r="P4" i="28"/>
  <c r="N4" i="28"/>
  <c r="J6" i="26"/>
  <c r="I6" i="26"/>
  <c r="H6" i="26"/>
  <c r="G6" i="26"/>
  <c r="F6" i="26"/>
  <c r="E6" i="26"/>
  <c r="K61" i="24"/>
  <c r="K60" i="24"/>
  <c r="M12" i="13"/>
  <c r="Q12" i="13" s="1"/>
  <c r="M11" i="13"/>
  <c r="Q11" i="13" s="1"/>
  <c r="M10" i="13"/>
  <c r="M9" i="13"/>
  <c r="M8" i="13"/>
  <c r="L12" i="13"/>
  <c r="L11" i="13"/>
  <c r="L10" i="13"/>
  <c r="L9" i="13"/>
  <c r="L8" i="13"/>
  <c r="K12" i="13"/>
  <c r="K11" i="13"/>
  <c r="K10" i="13"/>
  <c r="K9" i="13"/>
  <c r="K8" i="13"/>
  <c r="H12" i="13"/>
  <c r="H11" i="13"/>
  <c r="H10" i="13"/>
  <c r="H9" i="13"/>
  <c r="H8" i="13"/>
  <c r="G12" i="13"/>
  <c r="G11" i="13"/>
  <c r="G10" i="13"/>
  <c r="G9" i="13"/>
  <c r="G8" i="13"/>
  <c r="F12" i="13"/>
  <c r="F11" i="13"/>
  <c r="F10" i="13"/>
  <c r="F9" i="13"/>
  <c r="F8" i="13"/>
  <c r="E12" i="13"/>
  <c r="E11" i="13"/>
  <c r="E10" i="13"/>
  <c r="E9" i="13"/>
  <c r="E8" i="13"/>
  <c r="E7" i="13"/>
  <c r="O26" i="13" s="1"/>
  <c r="D12" i="13"/>
  <c r="D11" i="13"/>
  <c r="D10" i="13"/>
  <c r="D9" i="13"/>
  <c r="D8" i="13"/>
  <c r="C12" i="13"/>
  <c r="C11" i="13"/>
  <c r="C10" i="13"/>
  <c r="C9" i="13"/>
  <c r="C8" i="13"/>
  <c r="M7" i="13"/>
  <c r="L7" i="13"/>
  <c r="K7" i="13"/>
  <c r="H7" i="13"/>
  <c r="G7" i="13"/>
  <c r="F7" i="13"/>
  <c r="D37" i="26"/>
  <c r="D7" i="13"/>
  <c r="C7" i="13"/>
  <c r="J8" i="27"/>
  <c r="J7" i="27"/>
  <c r="J6" i="27"/>
  <c r="J5" i="27"/>
  <c r="J4" i="27"/>
  <c r="J3" i="27"/>
  <c r="Q10" i="13"/>
  <c r="Q9" i="13"/>
  <c r="Q8" i="13"/>
  <c r="T4" i="15" a="1"/>
  <c r="T4" i="15" s="1"/>
  <c r="S4" i="15" a="1"/>
  <c r="Q2" i="15"/>
  <c r="N4" i="15" a="1"/>
  <c r="L2" i="15"/>
  <c r="D4" i="15" a="1"/>
  <c r="C4" i="15" a="1"/>
  <c r="C4" i="15" s="1"/>
  <c r="D24" i="26"/>
  <c r="D40" i="26"/>
  <c r="K42" i="24"/>
  <c r="J42" i="24"/>
  <c r="I42" i="24"/>
  <c r="H42" i="24"/>
  <c r="K41" i="24"/>
  <c r="J41" i="24"/>
  <c r="I41" i="24"/>
  <c r="H41" i="24"/>
  <c r="G41" i="24"/>
  <c r="K33" i="24"/>
  <c r="J33" i="24"/>
  <c r="I33" i="24"/>
  <c r="H33" i="24"/>
  <c r="G33" i="24"/>
  <c r="K31" i="24"/>
  <c r="J31" i="24"/>
  <c r="I31" i="24"/>
  <c r="H31" i="24"/>
  <c r="G31" i="24"/>
  <c r="K30" i="24"/>
  <c r="J30" i="24"/>
  <c r="I30" i="24"/>
  <c r="H30" i="24"/>
  <c r="G30" i="24"/>
  <c r="K29" i="24"/>
  <c r="J29" i="24"/>
  <c r="I29" i="24"/>
  <c r="H29" i="24"/>
  <c r="G29" i="24"/>
  <c r="K28" i="24"/>
  <c r="J28" i="24"/>
  <c r="I28" i="24"/>
  <c r="H28" i="24"/>
  <c r="G28" i="24"/>
  <c r="K27" i="24"/>
  <c r="J27" i="24"/>
  <c r="I27" i="24"/>
  <c r="H27" i="24"/>
  <c r="G27" i="24"/>
  <c r="K26" i="24"/>
  <c r="J26" i="24"/>
  <c r="I26" i="24"/>
  <c r="H26" i="24"/>
  <c r="G26" i="24"/>
  <c r="K25" i="24"/>
  <c r="J25" i="24"/>
  <c r="I25" i="24"/>
  <c r="H25" i="24"/>
  <c r="G25" i="24"/>
  <c r="K24" i="24"/>
  <c r="J24" i="24"/>
  <c r="I24" i="24"/>
  <c r="H24" i="24"/>
  <c r="G24" i="24"/>
  <c r="K23" i="24"/>
  <c r="J23" i="24"/>
  <c r="I23" i="24"/>
  <c r="H23" i="24"/>
  <c r="G23" i="24"/>
  <c r="K22" i="24"/>
  <c r="J22" i="24"/>
  <c r="I22" i="24"/>
  <c r="H22" i="24"/>
  <c r="G22" i="24"/>
  <c r="K21" i="24"/>
  <c r="J21" i="24"/>
  <c r="I21" i="24"/>
  <c r="H21" i="24"/>
  <c r="G21" i="24"/>
  <c r="K20" i="24"/>
  <c r="J20" i="24"/>
  <c r="I20" i="24"/>
  <c r="H20" i="24"/>
  <c r="G20" i="24"/>
  <c r="K19" i="24"/>
  <c r="J19" i="24"/>
  <c r="I19" i="24"/>
  <c r="H19" i="24"/>
  <c r="G19" i="24"/>
  <c r="K13" i="24"/>
  <c r="J13" i="24"/>
  <c r="I13" i="24"/>
  <c r="H13" i="24"/>
  <c r="G13" i="24"/>
  <c r="K12" i="24"/>
  <c r="J12" i="24"/>
  <c r="I12" i="24"/>
  <c r="H12" i="24"/>
  <c r="G12" i="24"/>
  <c r="K8" i="24"/>
  <c r="J8" i="24"/>
  <c r="I8" i="24"/>
  <c r="H8" i="24"/>
  <c r="G8" i="24"/>
  <c r="K7" i="24"/>
  <c r="J7" i="24"/>
  <c r="I7" i="24"/>
  <c r="H7" i="24"/>
  <c r="G7" i="24"/>
  <c r="K6" i="24"/>
  <c r="J6" i="24"/>
  <c r="I6" i="24"/>
  <c r="H6" i="24"/>
  <c r="G6" i="24"/>
  <c r="K5" i="24"/>
  <c r="K9" i="24" s="1"/>
  <c r="J5" i="24"/>
  <c r="J9" i="24" s="1"/>
  <c r="I5" i="24"/>
  <c r="I9" i="24" s="1"/>
  <c r="H5" i="24"/>
  <c r="H9" i="24" s="1"/>
  <c r="G5" i="24"/>
  <c r="D35" i="26"/>
  <c r="D34" i="26"/>
  <c r="G11" i="26"/>
  <c r="J15" i="17"/>
  <c r="J13" i="17"/>
  <c r="J12" i="17"/>
  <c r="J11" i="17"/>
  <c r="J10" i="17"/>
  <c r="J31" i="17"/>
  <c r="E31" i="17"/>
  <c r="D555" i="19"/>
  <c r="D554" i="19"/>
  <c r="D553" i="19"/>
  <c r="D552" i="19"/>
  <c r="D551" i="19"/>
  <c r="D550" i="19"/>
  <c r="D549" i="19"/>
  <c r="D548" i="19"/>
  <c r="D547" i="19"/>
  <c r="D546" i="19"/>
  <c r="D545" i="19"/>
  <c r="D544" i="19"/>
  <c r="D543" i="19"/>
  <c r="D542" i="19"/>
  <c r="D541" i="19"/>
  <c r="D540" i="19"/>
  <c r="D539" i="19"/>
  <c r="D538" i="19"/>
  <c r="D537" i="19"/>
  <c r="D536" i="19"/>
  <c r="D535" i="19"/>
  <c r="D534" i="19"/>
  <c r="D533" i="19"/>
  <c r="D532" i="19"/>
  <c r="D531" i="19"/>
  <c r="D530" i="19"/>
  <c r="D529" i="19"/>
  <c r="D528" i="19"/>
  <c r="D527" i="19"/>
  <c r="D526" i="19"/>
  <c r="D525" i="19"/>
  <c r="D524" i="19"/>
  <c r="D523" i="19"/>
  <c r="D522" i="19"/>
  <c r="D521" i="19"/>
  <c r="D520" i="19"/>
  <c r="D519" i="19"/>
  <c r="D518" i="19"/>
  <c r="D517" i="19"/>
  <c r="D516" i="19"/>
  <c r="D515" i="19"/>
  <c r="D514" i="19"/>
  <c r="D513" i="19"/>
  <c r="D512" i="19"/>
  <c r="D511" i="19"/>
  <c r="D510" i="19"/>
  <c r="D509" i="19"/>
  <c r="D508" i="19"/>
  <c r="D507" i="19"/>
  <c r="D506" i="19"/>
  <c r="D505" i="19"/>
  <c r="D504" i="19"/>
  <c r="D503" i="19"/>
  <c r="D502" i="19"/>
  <c r="D501" i="19"/>
  <c r="D500" i="19"/>
  <c r="D499" i="19"/>
  <c r="D498" i="19"/>
  <c r="D497" i="19"/>
  <c r="D496" i="19"/>
  <c r="D495" i="19"/>
  <c r="D494" i="19"/>
  <c r="D493" i="19"/>
  <c r="D492" i="19"/>
  <c r="D491"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4" i="19"/>
  <c r="D463" i="19"/>
  <c r="D462" i="19"/>
  <c r="D461" i="19"/>
  <c r="D460" i="19"/>
  <c r="D459" i="19"/>
  <c r="D458" i="19"/>
  <c r="D457" i="19"/>
  <c r="D456" i="19"/>
  <c r="D455" i="19"/>
  <c r="D454" i="19"/>
  <c r="D453" i="19"/>
  <c r="D452" i="19"/>
  <c r="D451" i="19"/>
  <c r="G555" i="19"/>
  <c r="G554" i="19"/>
  <c r="G553" i="19"/>
  <c r="G552" i="19"/>
  <c r="G551" i="19"/>
  <c r="G550" i="19"/>
  <c r="G549" i="19"/>
  <c r="G548" i="19"/>
  <c r="G547" i="19"/>
  <c r="G546" i="19"/>
  <c r="G545" i="19"/>
  <c r="G544" i="19"/>
  <c r="G543" i="19"/>
  <c r="G542" i="19"/>
  <c r="G541" i="19"/>
  <c r="G540" i="19"/>
  <c r="G539" i="19"/>
  <c r="G538" i="19"/>
  <c r="G537" i="19"/>
  <c r="G536" i="19"/>
  <c r="G535" i="19"/>
  <c r="G534" i="19"/>
  <c r="G533" i="19"/>
  <c r="G532" i="19"/>
  <c r="G531" i="19"/>
  <c r="G530" i="19"/>
  <c r="G529" i="19"/>
  <c r="G528" i="19"/>
  <c r="G527" i="19"/>
  <c r="G526" i="19"/>
  <c r="G525" i="19"/>
  <c r="G524" i="19"/>
  <c r="G523" i="19"/>
  <c r="G522" i="19"/>
  <c r="G521" i="19"/>
  <c r="G520" i="19"/>
  <c r="G519" i="19"/>
  <c r="G518" i="19"/>
  <c r="G517" i="19"/>
  <c r="G516" i="19"/>
  <c r="G515" i="19"/>
  <c r="G514" i="19"/>
  <c r="G513" i="19"/>
  <c r="G512" i="19"/>
  <c r="G511" i="19"/>
  <c r="G510" i="19"/>
  <c r="G509" i="19"/>
  <c r="G508" i="19"/>
  <c r="G507" i="19"/>
  <c r="G506" i="19"/>
  <c r="G505" i="19"/>
  <c r="G504" i="19"/>
  <c r="G503" i="19"/>
  <c r="G502" i="19"/>
  <c r="G501" i="19"/>
  <c r="G500" i="19"/>
  <c r="G499" i="19"/>
  <c r="G498" i="19"/>
  <c r="G497" i="19"/>
  <c r="G496" i="19"/>
  <c r="G495" i="19"/>
  <c r="G494" i="19"/>
  <c r="G493" i="19"/>
  <c r="G492" i="19"/>
  <c r="G491" i="19"/>
  <c r="G490" i="19"/>
  <c r="G489" i="19"/>
  <c r="G488" i="19"/>
  <c r="G487" i="19"/>
  <c r="G486" i="19"/>
  <c r="G485" i="19"/>
  <c r="G484" i="19"/>
  <c r="G483" i="19"/>
  <c r="G482" i="19"/>
  <c r="G481" i="19"/>
  <c r="G480" i="19"/>
  <c r="G479" i="19"/>
  <c r="G478" i="19"/>
  <c r="G477" i="19"/>
  <c r="G476" i="19"/>
  <c r="G475" i="19"/>
  <c r="G474" i="19"/>
  <c r="G473" i="19"/>
  <c r="G472" i="19"/>
  <c r="G471" i="19"/>
  <c r="G470" i="19"/>
  <c r="G469" i="19"/>
  <c r="G468" i="19"/>
  <c r="G467" i="19"/>
  <c r="G466" i="19"/>
  <c r="G465" i="19"/>
  <c r="G464" i="19"/>
  <c r="G463" i="19"/>
  <c r="G462" i="19"/>
  <c r="G461" i="19"/>
  <c r="G460" i="19"/>
  <c r="G459" i="19"/>
  <c r="G458" i="19"/>
  <c r="G457" i="19"/>
  <c r="G456" i="19"/>
  <c r="G455" i="19"/>
  <c r="G454" i="19"/>
  <c r="G453" i="19"/>
  <c r="G452" i="19"/>
  <c r="G451" i="19"/>
  <c r="X108" i="21"/>
  <c r="X107" i="21"/>
  <c r="X106" i="21"/>
  <c r="X104" i="21"/>
  <c r="X103" i="21"/>
  <c r="X102" i="21"/>
  <c r="X99" i="21"/>
  <c r="X98" i="21"/>
  <c r="X97" i="21"/>
  <c r="X95" i="21"/>
  <c r="X94" i="21"/>
  <c r="X93" i="21"/>
  <c r="X90" i="21"/>
  <c r="X89" i="21"/>
  <c r="X88" i="21"/>
  <c r="X86" i="21"/>
  <c r="X85" i="21"/>
  <c r="X84" i="21"/>
  <c r="X82" i="21"/>
  <c r="X81" i="21"/>
  <c r="X80" i="21"/>
  <c r="X77" i="21"/>
  <c r="X76" i="21"/>
  <c r="X75" i="21"/>
  <c r="X73" i="21"/>
  <c r="X72" i="21"/>
  <c r="X71" i="21"/>
  <c r="X69" i="21"/>
  <c r="X68" i="21"/>
  <c r="X67" i="21"/>
  <c r="X65" i="21"/>
  <c r="X64" i="21"/>
  <c r="X63" i="21"/>
  <c r="X62" i="21"/>
  <c r="X60" i="21"/>
  <c r="X59" i="21"/>
  <c r="X58" i="21"/>
  <c r="X56" i="21"/>
  <c r="X55" i="21"/>
  <c r="X54" i="21"/>
  <c r="X51" i="21"/>
  <c r="X50" i="21"/>
  <c r="X49" i="21"/>
  <c r="X47" i="21"/>
  <c r="X46" i="21"/>
  <c r="X45" i="21"/>
  <c r="X43" i="21"/>
  <c r="X42" i="21"/>
  <c r="X41" i="21"/>
  <c r="X38" i="21"/>
  <c r="X37" i="21"/>
  <c r="X36" i="21"/>
  <c r="X34" i="21"/>
  <c r="X33" i="21"/>
  <c r="X32" i="21"/>
  <c r="X30" i="21"/>
  <c r="X29" i="21"/>
  <c r="X28" i="21"/>
  <c r="X25" i="21"/>
  <c r="X24" i="21"/>
  <c r="X23" i="21"/>
  <c r="X21" i="21"/>
  <c r="X20" i="21"/>
  <c r="X19" i="21"/>
  <c r="X16" i="21"/>
  <c r="X15" i="21"/>
  <c r="X12" i="21"/>
  <c r="X11" i="21"/>
  <c r="X10" i="21"/>
  <c r="X8" i="21"/>
  <c r="X7" i="21"/>
  <c r="X6" i="21"/>
  <c r="X4" i="21"/>
  <c r="X3" i="21"/>
  <c r="D666"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D644" i="19"/>
  <c r="D645" i="19"/>
  <c r="D646" i="19"/>
  <c r="D647" i="19"/>
  <c r="D648" i="19"/>
  <c r="D649" i="19"/>
  <c r="D650" i="19"/>
  <c r="D651" i="19"/>
  <c r="D652" i="19"/>
  <c r="D653" i="19"/>
  <c r="D654" i="19"/>
  <c r="D655" i="19"/>
  <c r="D656" i="19"/>
  <c r="D657" i="19"/>
  <c r="D658" i="19"/>
  <c r="D659" i="19"/>
  <c r="D660" i="19"/>
  <c r="D661" i="19"/>
  <c r="D662" i="19"/>
  <c r="D663" i="19"/>
  <c r="D664" i="19"/>
  <c r="D665" i="19"/>
  <c r="G666" i="19"/>
  <c r="G665" i="19"/>
  <c r="G664" i="19"/>
  <c r="G663" i="19"/>
  <c r="G662" i="19"/>
  <c r="G661" i="19"/>
  <c r="G660" i="19"/>
  <c r="G659" i="19"/>
  <c r="G658" i="19"/>
  <c r="G657" i="19"/>
  <c r="G656" i="19"/>
  <c r="G655" i="19"/>
  <c r="G654" i="19"/>
  <c r="G653" i="19"/>
  <c r="G652" i="19"/>
  <c r="G651" i="19"/>
  <c r="G650" i="19"/>
  <c r="G649" i="19"/>
  <c r="G648" i="19"/>
  <c r="G647" i="19"/>
  <c r="G646" i="19"/>
  <c r="G645" i="19"/>
  <c r="G644" i="19"/>
  <c r="G643" i="19"/>
  <c r="G642" i="19"/>
  <c r="G641" i="19"/>
  <c r="G640" i="19"/>
  <c r="G639" i="19"/>
  <c r="G638" i="19"/>
  <c r="G637" i="19"/>
  <c r="G636" i="19"/>
  <c r="G635" i="19"/>
  <c r="G634" i="19"/>
  <c r="G633" i="19"/>
  <c r="G632" i="19"/>
  <c r="G631" i="19"/>
  <c r="G630" i="19"/>
  <c r="G629" i="19"/>
  <c r="G628" i="19"/>
  <c r="G627" i="19"/>
  <c r="G626" i="19"/>
  <c r="G625" i="19"/>
  <c r="G624" i="19"/>
  <c r="G623" i="19"/>
  <c r="G622" i="19"/>
  <c r="G621" i="19"/>
  <c r="G620" i="19"/>
  <c r="G619" i="19"/>
  <c r="G618" i="19"/>
  <c r="G617" i="19"/>
  <c r="G616" i="19"/>
  <c r="G615" i="19"/>
  <c r="G614" i="19"/>
  <c r="G613" i="19"/>
  <c r="G612" i="19"/>
  <c r="G611" i="19"/>
  <c r="G610" i="19"/>
  <c r="G609" i="19"/>
  <c r="G608" i="19"/>
  <c r="G607" i="19"/>
  <c r="G606" i="19"/>
  <c r="G605" i="19"/>
  <c r="G604" i="19"/>
  <c r="G603" i="19"/>
  <c r="G602" i="19"/>
  <c r="G601" i="19"/>
  <c r="G600" i="19"/>
  <c r="G599" i="19"/>
  <c r="G598" i="19"/>
  <c r="G597" i="19"/>
  <c r="G596" i="19"/>
  <c r="G595" i="19"/>
  <c r="G594" i="19"/>
  <c r="G593" i="19"/>
  <c r="G592" i="19"/>
  <c r="G591" i="19"/>
  <c r="G590" i="19"/>
  <c r="G589" i="19"/>
  <c r="G588" i="19"/>
  <c r="G587" i="19"/>
  <c r="G586" i="19"/>
  <c r="G585" i="19"/>
  <c r="G584" i="19"/>
  <c r="G583" i="19"/>
  <c r="G582" i="19"/>
  <c r="G581" i="19"/>
  <c r="G580" i="19"/>
  <c r="G579" i="19"/>
  <c r="G578" i="19"/>
  <c r="G577" i="19"/>
  <c r="G576" i="19"/>
  <c r="G575" i="19"/>
  <c r="G574" i="19"/>
  <c r="G573" i="19"/>
  <c r="G572" i="19"/>
  <c r="G571" i="19"/>
  <c r="G570" i="19"/>
  <c r="G569" i="19"/>
  <c r="G568" i="19"/>
  <c r="G567" i="19"/>
  <c r="G566" i="19"/>
  <c r="G565" i="19"/>
  <c r="G564" i="19"/>
  <c r="G563" i="19"/>
  <c r="G562" i="19"/>
  <c r="T108" i="21"/>
  <c r="T107" i="21"/>
  <c r="T106" i="21"/>
  <c r="T104" i="21"/>
  <c r="T103" i="21"/>
  <c r="T102" i="21"/>
  <c r="T99" i="21"/>
  <c r="T98" i="21"/>
  <c r="T97" i="21"/>
  <c r="T95" i="21"/>
  <c r="T94" i="21"/>
  <c r="T93" i="21"/>
  <c r="T90" i="21"/>
  <c r="T89" i="21"/>
  <c r="T88" i="21"/>
  <c r="T86" i="21"/>
  <c r="T85" i="21"/>
  <c r="T84" i="21"/>
  <c r="T82" i="21"/>
  <c r="T81" i="21"/>
  <c r="T80" i="21"/>
  <c r="T77" i="21"/>
  <c r="T76" i="21"/>
  <c r="T75" i="21"/>
  <c r="T73" i="21"/>
  <c r="T72" i="21"/>
  <c r="T71" i="21"/>
  <c r="T69" i="21"/>
  <c r="T68" i="21"/>
  <c r="T67" i="21"/>
  <c r="T65" i="21"/>
  <c r="T64" i="21"/>
  <c r="T63" i="21"/>
  <c r="T62" i="21"/>
  <c r="T60" i="21"/>
  <c r="T59" i="21"/>
  <c r="T58" i="21"/>
  <c r="T56" i="21"/>
  <c r="T55" i="21"/>
  <c r="T54" i="21"/>
  <c r="T51" i="21"/>
  <c r="T50" i="21"/>
  <c r="T49" i="21"/>
  <c r="T47" i="21"/>
  <c r="T46" i="21"/>
  <c r="T45" i="21"/>
  <c r="T43" i="21"/>
  <c r="T42" i="21"/>
  <c r="T41" i="21"/>
  <c r="T38" i="21"/>
  <c r="T37" i="21"/>
  <c r="T36" i="21"/>
  <c r="T34" i="21"/>
  <c r="T33" i="21"/>
  <c r="T32" i="21"/>
  <c r="T30" i="21"/>
  <c r="T29" i="21"/>
  <c r="T28" i="21"/>
  <c r="T25" i="21"/>
  <c r="T24" i="21"/>
  <c r="T23" i="21"/>
  <c r="T21" i="21"/>
  <c r="T20" i="21"/>
  <c r="T19" i="21"/>
  <c r="T16" i="21"/>
  <c r="T15" i="21"/>
  <c r="T12" i="21"/>
  <c r="T11" i="21"/>
  <c r="T10" i="21"/>
  <c r="T8" i="21"/>
  <c r="T7" i="21"/>
  <c r="T6" i="21"/>
  <c r="T4" i="21"/>
  <c r="T3" i="21"/>
  <c r="D445" i="19"/>
  <c r="D444" i="19"/>
  <c r="D443" i="19"/>
  <c r="D442" i="19"/>
  <c r="D441" i="19"/>
  <c r="D440" i="19"/>
  <c r="D439" i="19"/>
  <c r="D438" i="19"/>
  <c r="D437" i="19"/>
  <c r="D436" i="19"/>
  <c r="D435" i="19"/>
  <c r="D434" i="19"/>
  <c r="D433" i="19"/>
  <c r="D432" i="19"/>
  <c r="D431" i="19"/>
  <c r="D430" i="19"/>
  <c r="D429" i="19"/>
  <c r="D428" i="19"/>
  <c r="D427" i="19"/>
  <c r="D426" i="19"/>
  <c r="D425" i="19"/>
  <c r="D424" i="19"/>
  <c r="D423" i="19"/>
  <c r="D422" i="19"/>
  <c r="D421" i="19"/>
  <c r="D420" i="19"/>
  <c r="D419" i="19"/>
  <c r="D418" i="19"/>
  <c r="D417" i="19"/>
  <c r="D416" i="19"/>
  <c r="D415" i="19"/>
  <c r="D414" i="19"/>
  <c r="D413" i="19"/>
  <c r="D412" i="19"/>
  <c r="D411" i="19"/>
  <c r="D410" i="19"/>
  <c r="D409" i="19"/>
  <c r="D408" i="19"/>
  <c r="D407" i="19"/>
  <c r="D406" i="19"/>
  <c r="D405" i="19"/>
  <c r="D404" i="19"/>
  <c r="D403" i="19"/>
  <c r="D402" i="19"/>
  <c r="D401" i="19"/>
  <c r="D400" i="19"/>
  <c r="D399" i="19"/>
  <c r="D398" i="19"/>
  <c r="D397" i="19"/>
  <c r="D396" i="19"/>
  <c r="D395" i="19"/>
  <c r="D394" i="19"/>
  <c r="D393" i="19"/>
  <c r="D392" i="19"/>
  <c r="D391" i="19"/>
  <c r="D390" i="19"/>
  <c r="D389" i="19"/>
  <c r="D388" i="19"/>
  <c r="D387" i="19"/>
  <c r="D386" i="19"/>
  <c r="D385" i="19"/>
  <c r="D384" i="19"/>
  <c r="D383" i="19"/>
  <c r="D382" i="19"/>
  <c r="D381" i="19"/>
  <c r="D380" i="19"/>
  <c r="D379" i="19"/>
  <c r="D378" i="19"/>
  <c r="D377" i="19"/>
  <c r="D376" i="19"/>
  <c r="D375" i="19"/>
  <c r="D374" i="19"/>
  <c r="D373" i="19"/>
  <c r="D372" i="19"/>
  <c r="D371" i="19"/>
  <c r="D370" i="19"/>
  <c r="D369" i="19"/>
  <c r="D368" i="19"/>
  <c r="D367" i="19"/>
  <c r="D366" i="19"/>
  <c r="D365" i="19"/>
  <c r="D364" i="19"/>
  <c r="D363" i="19"/>
  <c r="D362" i="19"/>
  <c r="D361" i="19"/>
  <c r="D360" i="19"/>
  <c r="D359" i="19"/>
  <c r="D358" i="19"/>
  <c r="D357" i="19"/>
  <c r="D356" i="19"/>
  <c r="D355" i="19"/>
  <c r="D354" i="19"/>
  <c r="D353" i="19"/>
  <c r="D352" i="19"/>
  <c r="D351" i="19"/>
  <c r="D350" i="19"/>
  <c r="D349" i="19"/>
  <c r="D348" i="19"/>
  <c r="D347" i="19"/>
  <c r="D346" i="19"/>
  <c r="D345" i="19"/>
  <c r="D344" i="19"/>
  <c r="D343" i="19"/>
  <c r="D342" i="19"/>
  <c r="D341" i="19"/>
  <c r="G445" i="19"/>
  <c r="G444" i="19"/>
  <c r="G443" i="19"/>
  <c r="G442" i="19"/>
  <c r="G441" i="19"/>
  <c r="G440" i="19"/>
  <c r="G439" i="19"/>
  <c r="G438" i="19"/>
  <c r="G437" i="19"/>
  <c r="G436" i="19"/>
  <c r="G435" i="19"/>
  <c r="G434" i="19"/>
  <c r="G433" i="19"/>
  <c r="G432" i="19"/>
  <c r="G431" i="19"/>
  <c r="G430" i="19"/>
  <c r="G429" i="19"/>
  <c r="G428" i="19"/>
  <c r="G427" i="19"/>
  <c r="G426" i="19"/>
  <c r="G425" i="19"/>
  <c r="G424" i="19"/>
  <c r="G423" i="19"/>
  <c r="G422" i="19"/>
  <c r="G421" i="19"/>
  <c r="G420" i="19"/>
  <c r="G419" i="19"/>
  <c r="G418" i="19"/>
  <c r="G417" i="19"/>
  <c r="G416" i="19"/>
  <c r="G415" i="19"/>
  <c r="G414" i="19"/>
  <c r="G413" i="19"/>
  <c r="G412" i="19"/>
  <c r="G411" i="19"/>
  <c r="G410" i="19"/>
  <c r="G409" i="19"/>
  <c r="G408" i="19"/>
  <c r="G407" i="19"/>
  <c r="G406" i="19"/>
  <c r="G405" i="19"/>
  <c r="G404" i="19"/>
  <c r="G403" i="19"/>
  <c r="G402" i="19"/>
  <c r="G401" i="19"/>
  <c r="G400" i="19"/>
  <c r="G399" i="19"/>
  <c r="G398" i="19"/>
  <c r="G397" i="19"/>
  <c r="G396" i="19"/>
  <c r="G395" i="19"/>
  <c r="G394" i="19"/>
  <c r="G393" i="19"/>
  <c r="G392" i="19"/>
  <c r="G391" i="19"/>
  <c r="G390" i="19"/>
  <c r="G389" i="19"/>
  <c r="G388" i="19"/>
  <c r="G387" i="19"/>
  <c r="G386" i="19"/>
  <c r="G385" i="19"/>
  <c r="G384" i="19"/>
  <c r="G383" i="19"/>
  <c r="G382" i="19"/>
  <c r="G381" i="19"/>
  <c r="G380" i="19"/>
  <c r="G379" i="19"/>
  <c r="G378" i="19"/>
  <c r="G377" i="19"/>
  <c r="G376" i="19"/>
  <c r="G375" i="19"/>
  <c r="G374" i="19"/>
  <c r="G373" i="19"/>
  <c r="G372" i="19"/>
  <c r="G371" i="19"/>
  <c r="G370" i="19"/>
  <c r="G369" i="19"/>
  <c r="G368" i="19"/>
  <c r="G367" i="19"/>
  <c r="G366" i="19"/>
  <c r="G365" i="19"/>
  <c r="G364" i="19"/>
  <c r="G363" i="19"/>
  <c r="G362" i="19"/>
  <c r="G361" i="19"/>
  <c r="G360" i="19"/>
  <c r="G359" i="19"/>
  <c r="G358" i="19"/>
  <c r="G357" i="19"/>
  <c r="G356" i="19"/>
  <c r="G355" i="19"/>
  <c r="G354" i="19"/>
  <c r="G353" i="19"/>
  <c r="G352" i="19"/>
  <c r="G351" i="19"/>
  <c r="G350" i="19"/>
  <c r="G349" i="19"/>
  <c r="G348" i="19"/>
  <c r="G347" i="19"/>
  <c r="G346" i="19"/>
  <c r="G345" i="19"/>
  <c r="G344" i="19"/>
  <c r="G343" i="19"/>
  <c r="G342" i="19"/>
  <c r="G341" i="19"/>
  <c r="P108" i="21"/>
  <c r="P107" i="21"/>
  <c r="P106" i="21"/>
  <c r="P104" i="21"/>
  <c r="P103" i="21"/>
  <c r="P102" i="21"/>
  <c r="P99" i="21"/>
  <c r="P98" i="21"/>
  <c r="P97" i="21"/>
  <c r="P95" i="21"/>
  <c r="P94" i="21"/>
  <c r="P93" i="21"/>
  <c r="P90" i="21"/>
  <c r="P89" i="21"/>
  <c r="P88" i="21"/>
  <c r="P86" i="21"/>
  <c r="P85" i="21"/>
  <c r="P84" i="21"/>
  <c r="P82" i="21"/>
  <c r="P81" i="21"/>
  <c r="P80" i="21"/>
  <c r="P77" i="21"/>
  <c r="P76" i="21"/>
  <c r="P75" i="21"/>
  <c r="P73" i="21"/>
  <c r="P72" i="21"/>
  <c r="P71" i="21"/>
  <c r="P69" i="21"/>
  <c r="P68" i="21"/>
  <c r="P67" i="21"/>
  <c r="P65" i="21"/>
  <c r="P64" i="21"/>
  <c r="P63" i="21"/>
  <c r="P62" i="21"/>
  <c r="P60" i="21"/>
  <c r="P59" i="21"/>
  <c r="P58" i="21"/>
  <c r="P56" i="21"/>
  <c r="P55" i="21"/>
  <c r="P54" i="21"/>
  <c r="P51" i="21"/>
  <c r="P50" i="21"/>
  <c r="P49" i="21"/>
  <c r="P47" i="21"/>
  <c r="P46" i="21"/>
  <c r="P45" i="21"/>
  <c r="P43" i="21"/>
  <c r="P42" i="21"/>
  <c r="P41" i="21"/>
  <c r="P38" i="21"/>
  <c r="P37" i="21"/>
  <c r="P36" i="21"/>
  <c r="P34" i="21"/>
  <c r="P33" i="21"/>
  <c r="P32" i="21"/>
  <c r="P30" i="21"/>
  <c r="P29" i="21"/>
  <c r="P28" i="21"/>
  <c r="P25" i="21"/>
  <c r="P24" i="21"/>
  <c r="P23" i="21"/>
  <c r="P21" i="21"/>
  <c r="P20" i="21"/>
  <c r="P19" i="21"/>
  <c r="P16" i="21"/>
  <c r="P15" i="21"/>
  <c r="P12" i="21"/>
  <c r="P11" i="21"/>
  <c r="P10" i="21"/>
  <c r="P8" i="21"/>
  <c r="P7" i="21"/>
  <c r="P6" i="21"/>
  <c r="P4" i="21"/>
  <c r="P3" i="21"/>
  <c r="D333" i="19"/>
  <c r="D335" i="19"/>
  <c r="D334"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G335" i="19"/>
  <c r="G334" i="19"/>
  <c r="G333" i="19"/>
  <c r="G332" i="19"/>
  <c r="G331" i="19"/>
  <c r="G330" i="19"/>
  <c r="G329" i="19"/>
  <c r="G328" i="19"/>
  <c r="G327" i="19"/>
  <c r="G326" i="19"/>
  <c r="G325" i="19"/>
  <c r="G324" i="19"/>
  <c r="G323" i="19"/>
  <c r="G322" i="19"/>
  <c r="G321" i="19"/>
  <c r="G320" i="19"/>
  <c r="G319" i="19"/>
  <c r="G318" i="19"/>
  <c r="G317" i="19"/>
  <c r="G316" i="19"/>
  <c r="G315" i="19"/>
  <c r="G314" i="19"/>
  <c r="G313" i="19"/>
  <c r="G312" i="19"/>
  <c r="G311" i="19"/>
  <c r="G310" i="19"/>
  <c r="G309" i="19"/>
  <c r="G308" i="19"/>
  <c r="G307" i="19"/>
  <c r="G306" i="19"/>
  <c r="G305" i="19"/>
  <c r="G304" i="19"/>
  <c r="G303" i="19"/>
  <c r="G302" i="19"/>
  <c r="G301" i="19"/>
  <c r="G300" i="19"/>
  <c r="G299" i="19"/>
  <c r="G298" i="19"/>
  <c r="G297" i="19"/>
  <c r="G296" i="19"/>
  <c r="G295" i="19"/>
  <c r="G294" i="19"/>
  <c r="G293" i="19"/>
  <c r="G292" i="19"/>
  <c r="G291" i="19"/>
  <c r="G290" i="19"/>
  <c r="G289" i="19"/>
  <c r="G288" i="19"/>
  <c r="G287" i="19"/>
  <c r="G286" i="19"/>
  <c r="G285" i="19"/>
  <c r="G284" i="19"/>
  <c r="G283" i="19"/>
  <c r="G282" i="19"/>
  <c r="G281" i="19"/>
  <c r="G280" i="19"/>
  <c r="G279" i="19"/>
  <c r="G278" i="19"/>
  <c r="G277" i="19"/>
  <c r="G276" i="19"/>
  <c r="G275" i="19"/>
  <c r="G274" i="19"/>
  <c r="G273" i="19"/>
  <c r="G272" i="19"/>
  <c r="G271" i="19"/>
  <c r="G270" i="19"/>
  <c r="G269" i="19"/>
  <c r="G268" i="19"/>
  <c r="G267" i="19"/>
  <c r="G266" i="19"/>
  <c r="G265" i="19"/>
  <c r="G264" i="19"/>
  <c r="G263" i="19"/>
  <c r="G262" i="19"/>
  <c r="G261" i="19"/>
  <c r="G260" i="19"/>
  <c r="G259" i="19"/>
  <c r="G258" i="19"/>
  <c r="G257" i="19"/>
  <c r="G256" i="19"/>
  <c r="G255" i="19"/>
  <c r="G254" i="19"/>
  <c r="G253" i="19"/>
  <c r="G252" i="19"/>
  <c r="G251" i="19"/>
  <c r="G250" i="19"/>
  <c r="G249" i="19"/>
  <c r="G248" i="19"/>
  <c r="G247" i="19"/>
  <c r="G246" i="19"/>
  <c r="G245" i="19"/>
  <c r="G244" i="19"/>
  <c r="G243" i="19"/>
  <c r="G242" i="19"/>
  <c r="G241" i="19"/>
  <c r="G240" i="19"/>
  <c r="G239" i="19"/>
  <c r="G238" i="19"/>
  <c r="G237" i="19"/>
  <c r="G236" i="19"/>
  <c r="G235" i="19"/>
  <c r="G234" i="19"/>
  <c r="G233" i="19"/>
  <c r="G232" i="19"/>
  <c r="G231"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G224" i="19"/>
  <c r="G223" i="19"/>
  <c r="G222" i="19"/>
  <c r="G221" i="19"/>
  <c r="G220" i="19"/>
  <c r="G219" i="19"/>
  <c r="G218" i="19"/>
  <c r="G217" i="19"/>
  <c r="G216" i="19"/>
  <c r="G215" i="19"/>
  <c r="G214" i="19"/>
  <c r="G213" i="19"/>
  <c r="G212" i="19"/>
  <c r="G211" i="19"/>
  <c r="G210" i="19"/>
  <c r="G209" i="19"/>
  <c r="G208" i="19"/>
  <c r="G207" i="19"/>
  <c r="G206" i="19"/>
  <c r="G205" i="19"/>
  <c r="G204" i="19"/>
  <c r="G203" i="19"/>
  <c r="G202" i="19"/>
  <c r="G201" i="19"/>
  <c r="G200" i="19"/>
  <c r="G199" i="19"/>
  <c r="G198" i="19"/>
  <c r="G197" i="19"/>
  <c r="G196" i="19"/>
  <c r="G195" i="19"/>
  <c r="G194" i="19"/>
  <c r="G193" i="19"/>
  <c r="G192" i="19"/>
  <c r="G191" i="19"/>
  <c r="G190" i="19"/>
  <c r="G189" i="19"/>
  <c r="G188" i="19"/>
  <c r="G187" i="19"/>
  <c r="G186" i="19"/>
  <c r="G185" i="19"/>
  <c r="G184" i="19"/>
  <c r="G183" i="19"/>
  <c r="G182" i="19"/>
  <c r="G181" i="19"/>
  <c r="G180" i="19"/>
  <c r="G179" i="19"/>
  <c r="G178" i="19"/>
  <c r="G177" i="19"/>
  <c r="G176" i="19"/>
  <c r="G175" i="19"/>
  <c r="G174" i="19"/>
  <c r="G173" i="19"/>
  <c r="G172" i="19"/>
  <c r="G171" i="19"/>
  <c r="G170" i="19"/>
  <c r="G169" i="19"/>
  <c r="G168" i="19"/>
  <c r="G167" i="19"/>
  <c r="G166" i="19"/>
  <c r="G165" i="19"/>
  <c r="G164" i="19"/>
  <c r="G163" i="19"/>
  <c r="G162" i="19"/>
  <c r="G161" i="19"/>
  <c r="G160" i="19"/>
  <c r="G159" i="19"/>
  <c r="G158" i="19"/>
  <c r="G157" i="19"/>
  <c r="G156" i="19"/>
  <c r="G155" i="19"/>
  <c r="G154" i="19"/>
  <c r="G153" i="19"/>
  <c r="G152" i="19"/>
  <c r="G151" i="19"/>
  <c r="G150" i="19"/>
  <c r="G149" i="19"/>
  <c r="G148" i="19"/>
  <c r="G147" i="19"/>
  <c r="G146" i="19"/>
  <c r="G145" i="19"/>
  <c r="G144" i="19"/>
  <c r="G143" i="19"/>
  <c r="G142" i="19"/>
  <c r="G141" i="19"/>
  <c r="G140" i="19"/>
  <c r="G139" i="19"/>
  <c r="G138" i="19"/>
  <c r="G137" i="19"/>
  <c r="G136" i="19"/>
  <c r="G135" i="19"/>
  <c r="G134" i="19"/>
  <c r="G133" i="19"/>
  <c r="G132" i="19"/>
  <c r="G131" i="19"/>
  <c r="G130" i="19"/>
  <c r="G129" i="19"/>
  <c r="G128" i="19"/>
  <c r="G127" i="19"/>
  <c r="G126" i="19"/>
  <c r="G125" i="19"/>
  <c r="G124" i="19"/>
  <c r="G123" i="19"/>
  <c r="G122" i="19"/>
  <c r="G121" i="19"/>
  <c r="G120"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23" i="17"/>
  <c r="D24" i="17" s="1"/>
  <c r="I38" i="17" s="1"/>
  <c r="H18" i="17"/>
  <c r="G18" i="17"/>
  <c r="F18" i="17"/>
  <c r="H17" i="17"/>
  <c r="G17" i="17"/>
  <c r="F17" i="17"/>
  <c r="G15" i="17"/>
  <c r="G14" i="17"/>
  <c r="G13" i="17"/>
  <c r="G12" i="17"/>
  <c r="G11" i="17"/>
  <c r="H15" i="17"/>
  <c r="H14" i="17"/>
  <c r="H13" i="17"/>
  <c r="H12" i="17"/>
  <c r="H11" i="17"/>
  <c r="H10" i="17"/>
  <c r="G10" i="17"/>
  <c r="E15" i="17"/>
  <c r="E14" i="17"/>
  <c r="E13" i="17"/>
  <c r="E12" i="17"/>
  <c r="E11" i="17"/>
  <c r="E10" i="17"/>
  <c r="D15" i="17"/>
  <c r="D14" i="17"/>
  <c r="D13" i="17"/>
  <c r="D12" i="17"/>
  <c r="D11" i="17"/>
  <c r="D10" i="17"/>
  <c r="B15" i="17"/>
  <c r="B14" i="17"/>
  <c r="B13" i="17"/>
  <c r="B12" i="17"/>
  <c r="B11" i="17"/>
  <c r="B10" i="17"/>
  <c r="C32" i="17"/>
  <c r="G56" i="24"/>
  <c r="B30" i="24"/>
  <c r="B28" i="24"/>
  <c r="B27" i="24"/>
  <c r="B26" i="24"/>
  <c r="B25" i="24"/>
  <c r="B24" i="24"/>
  <c r="B23" i="24"/>
  <c r="B22" i="24"/>
  <c r="B21" i="24"/>
  <c r="B20" i="24"/>
  <c r="B19" i="24"/>
  <c r="K14" i="24"/>
  <c r="J14" i="24"/>
  <c r="I14" i="24"/>
  <c r="H14" i="24"/>
  <c r="G14" i="24"/>
  <c r="B13" i="24"/>
  <c r="B12" i="24"/>
  <c r="B7" i="24" a="1"/>
  <c r="B7" i="24" s="1"/>
  <c r="B6" i="24"/>
  <c r="B5" i="24"/>
  <c r="F5" i="23"/>
  <c r="F6" i="23" s="1"/>
  <c r="J23" i="17" s="1"/>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C11" i="17"/>
  <c r="C12" i="17"/>
  <c r="C13" i="17"/>
  <c r="C14" i="17"/>
  <c r="E32" i="17"/>
  <c r="J38" i="17"/>
  <c r="E2" i="16"/>
  <c r="E4" i="16"/>
  <c r="E5" i="16"/>
  <c r="E6" i="16"/>
  <c r="B2" i="15"/>
  <c r="G2" i="15"/>
  <c r="B2" i="12"/>
  <c r="L3" i="12"/>
  <c r="K3" i="12"/>
  <c r="J3" i="12"/>
  <c r="I3" i="12"/>
  <c r="H3" i="12"/>
  <c r="G3" i="12"/>
  <c r="F3" i="12"/>
  <c r="E3" i="12"/>
  <c r="D3" i="12"/>
  <c r="C3" i="12"/>
  <c r="C5" i="11"/>
  <c r="B2" i="11"/>
  <c r="L3" i="11"/>
  <c r="K3" i="11"/>
  <c r="J3" i="11"/>
  <c r="I3" i="11"/>
  <c r="H3" i="11"/>
  <c r="G3" i="11"/>
  <c r="F3" i="11"/>
  <c r="E3" i="11"/>
  <c r="D3" i="11"/>
  <c r="C3" i="11"/>
  <c r="K104" i="8"/>
  <c r="J104" i="8"/>
  <c r="I104" i="8"/>
  <c r="H104" i="8"/>
  <c r="G104" i="8"/>
  <c r="F104" i="8"/>
  <c r="E104" i="8"/>
  <c r="D104" i="8"/>
  <c r="C104" i="8"/>
  <c r="K103" i="8"/>
  <c r="J103" i="8"/>
  <c r="I103" i="8"/>
  <c r="H103" i="8"/>
  <c r="G103" i="8"/>
  <c r="F103" i="8"/>
  <c r="E103" i="8"/>
  <c r="D103" i="8"/>
  <c r="C103" i="8"/>
  <c r="K102" i="8"/>
  <c r="J102" i="8"/>
  <c r="I102" i="8"/>
  <c r="H102" i="8"/>
  <c r="G102" i="8"/>
  <c r="F102" i="8"/>
  <c r="E102" i="8"/>
  <c r="D102" i="8"/>
  <c r="C102" i="8"/>
  <c r="K101" i="8"/>
  <c r="J101" i="8"/>
  <c r="I101" i="8"/>
  <c r="H101" i="8"/>
  <c r="G101" i="8"/>
  <c r="F101" i="8"/>
  <c r="E101" i="8"/>
  <c r="D101" i="8"/>
  <c r="C101" i="8"/>
  <c r="K100" i="8"/>
  <c r="J100" i="8"/>
  <c r="I100" i="8"/>
  <c r="H100" i="8"/>
  <c r="G100" i="8"/>
  <c r="F100" i="8"/>
  <c r="E100" i="8"/>
  <c r="D100" i="8"/>
  <c r="C100" i="8"/>
  <c r="K99" i="8"/>
  <c r="J99" i="8"/>
  <c r="I99" i="8"/>
  <c r="H99" i="8"/>
  <c r="G99" i="8"/>
  <c r="F99" i="8"/>
  <c r="E99" i="8"/>
  <c r="D99" i="8"/>
  <c r="C99" i="8"/>
  <c r="K98" i="8"/>
  <c r="J98" i="8"/>
  <c r="I98" i="8"/>
  <c r="H98" i="8"/>
  <c r="G98" i="8"/>
  <c r="F98" i="8"/>
  <c r="E98" i="8"/>
  <c r="D98" i="8"/>
  <c r="C98" i="8"/>
  <c r="K97" i="8"/>
  <c r="J97" i="8"/>
  <c r="I97" i="8"/>
  <c r="H97" i="8"/>
  <c r="G97" i="8"/>
  <c r="F97" i="8"/>
  <c r="E97" i="8"/>
  <c r="D97" i="8"/>
  <c r="C97" i="8"/>
  <c r="K96" i="8"/>
  <c r="J96" i="8"/>
  <c r="I96" i="8"/>
  <c r="H96" i="8"/>
  <c r="G96" i="8"/>
  <c r="F96" i="8"/>
  <c r="E96" i="8"/>
  <c r="D96" i="8"/>
  <c r="C96" i="8"/>
  <c r="K92" i="8"/>
  <c r="J92" i="8"/>
  <c r="I92" i="8"/>
  <c r="H92" i="8"/>
  <c r="G92" i="8"/>
  <c r="F92" i="8"/>
  <c r="E92" i="8"/>
  <c r="D92" i="8"/>
  <c r="C92" i="8"/>
  <c r="K91" i="8"/>
  <c r="J91" i="8"/>
  <c r="I91" i="8"/>
  <c r="H91" i="8"/>
  <c r="G91" i="8"/>
  <c r="F91" i="8"/>
  <c r="E91" i="8"/>
  <c r="D91" i="8"/>
  <c r="C91" i="8"/>
  <c r="K90" i="8"/>
  <c r="J90" i="8"/>
  <c r="I90" i="8"/>
  <c r="H90" i="8"/>
  <c r="G90" i="8"/>
  <c r="F90" i="8"/>
  <c r="E90" i="8"/>
  <c r="D90" i="8"/>
  <c r="C90" i="8"/>
  <c r="K89" i="8"/>
  <c r="J89" i="8"/>
  <c r="I89" i="8"/>
  <c r="H89" i="8"/>
  <c r="G89" i="8"/>
  <c r="F89" i="8"/>
  <c r="E89" i="8"/>
  <c r="D89" i="8"/>
  <c r="C89" i="8"/>
  <c r="K88" i="8"/>
  <c r="J88" i="8"/>
  <c r="I88" i="8"/>
  <c r="H88" i="8"/>
  <c r="G88" i="8"/>
  <c r="F88" i="8"/>
  <c r="E88" i="8"/>
  <c r="D88" i="8"/>
  <c r="C88" i="8"/>
  <c r="K87" i="8"/>
  <c r="J87" i="8"/>
  <c r="I87" i="8"/>
  <c r="H87" i="8"/>
  <c r="G87" i="8"/>
  <c r="F87" i="8"/>
  <c r="E87" i="8"/>
  <c r="D87" i="8"/>
  <c r="C87" i="8"/>
  <c r="K86" i="8"/>
  <c r="J86" i="8"/>
  <c r="I86" i="8"/>
  <c r="H86" i="8"/>
  <c r="G86" i="8"/>
  <c r="F86" i="8"/>
  <c r="E86" i="8"/>
  <c r="D86" i="8"/>
  <c r="C86" i="8"/>
  <c r="K85" i="8"/>
  <c r="J85" i="8"/>
  <c r="I85" i="8"/>
  <c r="H85" i="8"/>
  <c r="G85" i="8"/>
  <c r="F85" i="8"/>
  <c r="E85" i="8"/>
  <c r="D85" i="8"/>
  <c r="C85" i="8"/>
  <c r="K84" i="8"/>
  <c r="J84" i="8"/>
  <c r="I84" i="8"/>
  <c r="H84" i="8"/>
  <c r="G84" i="8"/>
  <c r="F84" i="8"/>
  <c r="E84" i="8"/>
  <c r="D84" i="8"/>
  <c r="C84" i="8"/>
  <c r="K83" i="8"/>
  <c r="J83" i="8"/>
  <c r="I83" i="8"/>
  <c r="H83" i="8"/>
  <c r="G83" i="8"/>
  <c r="F83" i="8"/>
  <c r="E83" i="8"/>
  <c r="D83" i="8"/>
  <c r="C83" i="8"/>
  <c r="K79" i="8"/>
  <c r="J79" i="8"/>
  <c r="I79" i="8"/>
  <c r="H79" i="8"/>
  <c r="G79" i="8"/>
  <c r="F79" i="8"/>
  <c r="E79" i="8"/>
  <c r="D79" i="8"/>
  <c r="C79" i="8"/>
  <c r="K78" i="8"/>
  <c r="J78" i="8"/>
  <c r="I78" i="8"/>
  <c r="H78" i="8"/>
  <c r="G78" i="8"/>
  <c r="F78" i="8"/>
  <c r="E78" i="8"/>
  <c r="D78" i="8"/>
  <c r="C78" i="8"/>
  <c r="K77" i="8"/>
  <c r="J77" i="8"/>
  <c r="I77" i="8"/>
  <c r="H77" i="8"/>
  <c r="G77" i="8"/>
  <c r="F77" i="8"/>
  <c r="E77" i="8"/>
  <c r="D77" i="8"/>
  <c r="C77" i="8"/>
  <c r="K76" i="8"/>
  <c r="J76" i="8"/>
  <c r="I76" i="8"/>
  <c r="H76" i="8"/>
  <c r="G76" i="8"/>
  <c r="F76" i="8"/>
  <c r="E76" i="8"/>
  <c r="D76" i="8"/>
  <c r="C76" i="8"/>
  <c r="K75" i="8"/>
  <c r="J75" i="8"/>
  <c r="I75" i="8"/>
  <c r="H75" i="8"/>
  <c r="G75" i="8"/>
  <c r="F75" i="8"/>
  <c r="E75" i="8"/>
  <c r="D75" i="8"/>
  <c r="C75" i="8"/>
  <c r="K74" i="8"/>
  <c r="J74" i="8"/>
  <c r="I74" i="8"/>
  <c r="H74" i="8"/>
  <c r="G74" i="8"/>
  <c r="F74" i="8"/>
  <c r="E74" i="8"/>
  <c r="D74" i="8"/>
  <c r="C74" i="8"/>
  <c r="K73" i="8"/>
  <c r="J73" i="8"/>
  <c r="I73" i="8"/>
  <c r="H73" i="8"/>
  <c r="G73" i="8"/>
  <c r="F73" i="8"/>
  <c r="E73" i="8"/>
  <c r="D73" i="8"/>
  <c r="C73" i="8"/>
  <c r="K72" i="8"/>
  <c r="J72" i="8"/>
  <c r="I72" i="8"/>
  <c r="H72" i="8"/>
  <c r="G72" i="8"/>
  <c r="F72" i="8"/>
  <c r="E72" i="8"/>
  <c r="D72" i="8"/>
  <c r="C72" i="8"/>
  <c r="K71" i="8"/>
  <c r="J71" i="8"/>
  <c r="I71" i="8"/>
  <c r="H71" i="8"/>
  <c r="G71" i="8"/>
  <c r="F71" i="8"/>
  <c r="E71" i="8"/>
  <c r="D71" i="8"/>
  <c r="C71" i="8"/>
  <c r="D59" i="8"/>
  <c r="E59" i="8"/>
  <c r="F59" i="8"/>
  <c r="G59" i="8"/>
  <c r="H59" i="8"/>
  <c r="I59" i="8"/>
  <c r="J59" i="8"/>
  <c r="K59" i="8"/>
  <c r="C59" i="8"/>
  <c r="K64" i="8"/>
  <c r="J64" i="8"/>
  <c r="I64" i="8"/>
  <c r="H64" i="8"/>
  <c r="G64" i="8"/>
  <c r="F64" i="8"/>
  <c r="E64" i="8"/>
  <c r="D64" i="8"/>
  <c r="C64" i="8"/>
  <c r="K63" i="8"/>
  <c r="J63" i="8"/>
  <c r="I63" i="8"/>
  <c r="H63" i="8"/>
  <c r="G63" i="8"/>
  <c r="F63" i="8"/>
  <c r="E63" i="8"/>
  <c r="D63" i="8"/>
  <c r="C63" i="8"/>
  <c r="K62" i="8"/>
  <c r="J62" i="8"/>
  <c r="I62" i="8"/>
  <c r="H62" i="8"/>
  <c r="G62" i="8"/>
  <c r="F62" i="8"/>
  <c r="E62" i="8"/>
  <c r="D62" i="8"/>
  <c r="C62" i="8"/>
  <c r="K58" i="8"/>
  <c r="J58" i="8"/>
  <c r="I58" i="8"/>
  <c r="H58" i="8"/>
  <c r="G58" i="8"/>
  <c r="F58" i="8"/>
  <c r="E58" i="8"/>
  <c r="D58" i="8"/>
  <c r="C58" i="8"/>
  <c r="K57" i="8"/>
  <c r="J57" i="8"/>
  <c r="I57" i="8"/>
  <c r="H57" i="8"/>
  <c r="G57" i="8"/>
  <c r="F57" i="8"/>
  <c r="E57" i="8"/>
  <c r="D57" i="8"/>
  <c r="C57" i="8"/>
  <c r="K56" i="8"/>
  <c r="J56" i="8"/>
  <c r="I56" i="8"/>
  <c r="H56" i="8"/>
  <c r="G56" i="8"/>
  <c r="F56" i="8"/>
  <c r="E56" i="8"/>
  <c r="D56" i="8"/>
  <c r="C56" i="8"/>
  <c r="L24" i="12"/>
  <c r="K54" i="8"/>
  <c r="K24" i="12" s="1"/>
  <c r="J54" i="8"/>
  <c r="J24" i="12" s="1"/>
  <c r="I54" i="8"/>
  <c r="I24" i="12" s="1"/>
  <c r="H54" i="8"/>
  <c r="H24" i="12" s="1"/>
  <c r="G54" i="8"/>
  <c r="G24" i="12" s="1"/>
  <c r="F54" i="8"/>
  <c r="F24" i="12" s="1"/>
  <c r="E54" i="8"/>
  <c r="E24" i="12" s="1"/>
  <c r="D54" i="8"/>
  <c r="D24" i="12" s="1"/>
  <c r="C54" i="8"/>
  <c r="C24" i="12" s="1"/>
  <c r="L23" i="12"/>
  <c r="K53" i="8"/>
  <c r="K23" i="12" s="1"/>
  <c r="J53" i="8"/>
  <c r="J23" i="12" s="1"/>
  <c r="I53" i="8"/>
  <c r="I23" i="12" s="1"/>
  <c r="H53" i="8"/>
  <c r="H23" i="12" s="1"/>
  <c r="G53" i="8"/>
  <c r="G23" i="12" s="1"/>
  <c r="F53" i="8"/>
  <c r="F23" i="12" s="1"/>
  <c r="E53" i="8"/>
  <c r="E23" i="12" s="1"/>
  <c r="D53" i="8"/>
  <c r="D23" i="12" s="1"/>
  <c r="C53" i="8"/>
  <c r="C23" i="12" s="1"/>
  <c r="L22" i="12"/>
  <c r="K52" i="8"/>
  <c r="K22" i="12" s="1"/>
  <c r="J52" i="8"/>
  <c r="J22" i="12" s="1"/>
  <c r="I52" i="8"/>
  <c r="I22" i="12" s="1"/>
  <c r="H52" i="8"/>
  <c r="H22" i="12" s="1"/>
  <c r="G52" i="8"/>
  <c r="G22" i="12" s="1"/>
  <c r="F52" i="8"/>
  <c r="F22" i="12" s="1"/>
  <c r="E52" i="8"/>
  <c r="E22" i="12" s="1"/>
  <c r="D52" i="8"/>
  <c r="D22" i="12" s="1"/>
  <c r="C52" i="8"/>
  <c r="C22" i="12" s="1"/>
  <c r="L21" i="12"/>
  <c r="K51" i="8"/>
  <c r="K21" i="12" s="1"/>
  <c r="J51" i="8"/>
  <c r="J21" i="12" s="1"/>
  <c r="I51" i="8"/>
  <c r="I21" i="12" s="1"/>
  <c r="H51" i="8"/>
  <c r="H21" i="12" s="1"/>
  <c r="G51" i="8"/>
  <c r="G21" i="12" s="1"/>
  <c r="F51" i="8"/>
  <c r="F21" i="12" s="1"/>
  <c r="E51" i="8"/>
  <c r="E21" i="12" s="1"/>
  <c r="D51" i="8"/>
  <c r="D21" i="12" s="1"/>
  <c r="C51" i="8"/>
  <c r="C21" i="12" s="1"/>
  <c r="L20" i="12"/>
  <c r="K50" i="8"/>
  <c r="K20" i="12" s="1"/>
  <c r="J50" i="8"/>
  <c r="J20" i="12" s="1"/>
  <c r="I50" i="8"/>
  <c r="I20" i="12" s="1"/>
  <c r="H50" i="8"/>
  <c r="H20" i="12" s="1"/>
  <c r="G50" i="8"/>
  <c r="G20" i="12" s="1"/>
  <c r="F50" i="8"/>
  <c r="F20" i="12" s="1"/>
  <c r="E50" i="8"/>
  <c r="E20" i="12" s="1"/>
  <c r="D50" i="8"/>
  <c r="D20" i="12" s="1"/>
  <c r="C50" i="8"/>
  <c r="C20" i="12" s="1"/>
  <c r="K44" i="8"/>
  <c r="J44" i="8"/>
  <c r="I44" i="8"/>
  <c r="H44" i="8"/>
  <c r="G44" i="8"/>
  <c r="F44" i="8"/>
  <c r="E44" i="8"/>
  <c r="D44" i="8"/>
  <c r="C44" i="8"/>
  <c r="K39" i="8"/>
  <c r="J39" i="8"/>
  <c r="I39" i="8"/>
  <c r="H39" i="8"/>
  <c r="G39" i="8"/>
  <c r="F39" i="8"/>
  <c r="E39" i="8"/>
  <c r="D39" i="8"/>
  <c r="C39" i="8"/>
  <c r="M15" i="12"/>
  <c r="D33" i="8"/>
  <c r="E33" i="8"/>
  <c r="F33" i="8"/>
  <c r="G33" i="8"/>
  <c r="H33" i="8"/>
  <c r="I33" i="8"/>
  <c r="J33" i="8"/>
  <c r="K33" i="8"/>
  <c r="C33" i="8"/>
  <c r="K21" i="8"/>
  <c r="J21" i="8"/>
  <c r="I21" i="8"/>
  <c r="H21" i="8"/>
  <c r="G21" i="8"/>
  <c r="F21" i="8"/>
  <c r="E21" i="8"/>
  <c r="D21" i="8"/>
  <c r="C21" i="8"/>
  <c r="D27" i="8"/>
  <c r="E27" i="8"/>
  <c r="F27" i="8"/>
  <c r="G27" i="8"/>
  <c r="H27" i="8"/>
  <c r="I27" i="8"/>
  <c r="J27" i="8"/>
  <c r="K27" i="8"/>
  <c r="C27" i="8"/>
  <c r="D15" i="8"/>
  <c r="E15" i="8"/>
  <c r="F15" i="8"/>
  <c r="G15" i="8"/>
  <c r="H15" i="8"/>
  <c r="I15" i="8"/>
  <c r="J15" i="8"/>
  <c r="K15" i="8"/>
  <c r="C15" i="8"/>
  <c r="M9" i="12"/>
  <c r="D9" i="8"/>
  <c r="E9" i="8"/>
  <c r="F9" i="8"/>
  <c r="G9" i="8"/>
  <c r="H9" i="8"/>
  <c r="I9" i="8"/>
  <c r="J9" i="8"/>
  <c r="K9" i="8"/>
  <c r="C9" i="8"/>
  <c r="M6" i="12"/>
  <c r="D6" i="8"/>
  <c r="E6" i="8"/>
  <c r="F6" i="8"/>
  <c r="G6" i="8"/>
  <c r="H6" i="8"/>
  <c r="I6" i="8"/>
  <c r="J6" i="8"/>
  <c r="K6" i="8"/>
  <c r="C6" i="8"/>
  <c r="D3" i="8"/>
  <c r="E3" i="8"/>
  <c r="F3" i="8"/>
  <c r="G3" i="8"/>
  <c r="H3" i="8"/>
  <c r="I3" i="8"/>
  <c r="J3" i="8"/>
  <c r="K3" i="8"/>
  <c r="E2" i="26" s="1"/>
  <c r="F2" i="26" s="1"/>
  <c r="G2" i="26" s="1"/>
  <c r="H2" i="26" s="1"/>
  <c r="I2" i="26" s="1"/>
  <c r="J2" i="26" s="1"/>
  <c r="C3" i="8"/>
  <c r="B2" i="8"/>
  <c r="B6" i="6"/>
  <c r="E1" i="6"/>
  <c r="Q7" i="13" l="1"/>
  <c r="P12" i="13"/>
  <c r="O12" i="13"/>
  <c r="P11" i="13"/>
  <c r="O11" i="13"/>
  <c r="P10" i="13"/>
  <c r="O10" i="13"/>
  <c r="P9" i="13"/>
  <c r="O9" i="13"/>
  <c r="P8" i="13"/>
  <c r="O8" i="13"/>
  <c r="P7" i="13"/>
  <c r="O7" i="13"/>
  <c r="Q19" i="13"/>
  <c r="Q14" i="13"/>
  <c r="Q15" i="13"/>
  <c r="Q16" i="13"/>
  <c r="Q17" i="13"/>
  <c r="Q25" i="13" s="1"/>
  <c r="Q18" i="13"/>
  <c r="S4" i="15"/>
  <c r="U11" i="15"/>
  <c r="U9" i="15"/>
  <c r="U8" i="15"/>
  <c r="U6" i="15"/>
  <c r="U12" i="15"/>
  <c r="U10" i="15"/>
  <c r="U7" i="15"/>
  <c r="U5" i="15"/>
  <c r="N4" i="15"/>
  <c r="O12" i="15"/>
  <c r="O11" i="15"/>
  <c r="O9" i="15"/>
  <c r="O8" i="15"/>
  <c r="O7" i="15"/>
  <c r="O6" i="15"/>
  <c r="O5" i="15"/>
  <c r="O10" i="15"/>
  <c r="D4" i="15"/>
  <c r="E12" i="15"/>
  <c r="E11" i="15"/>
  <c r="E10" i="15"/>
  <c r="E9" i="15"/>
  <c r="E8" i="15"/>
  <c r="E7" i="15"/>
  <c r="E6" i="15"/>
  <c r="E5" i="15"/>
  <c r="D13" i="15"/>
  <c r="L9" i="11"/>
  <c r="K9" i="11"/>
  <c r="E9" i="11"/>
  <c r="D9" i="11"/>
  <c r="H9" i="11"/>
  <c r="J80" i="8"/>
  <c r="G80" i="8"/>
  <c r="I80" i="8"/>
  <c r="E80" i="8"/>
  <c r="I9" i="11"/>
  <c r="O9" i="11" s="1"/>
  <c r="J9" i="11"/>
  <c r="K80" i="8"/>
  <c r="D80" i="8"/>
  <c r="H80" i="8"/>
  <c r="C80" i="8"/>
  <c r="F80" i="8"/>
  <c r="H11" i="26"/>
  <c r="J39" i="17"/>
  <c r="E35" i="17"/>
  <c r="M450" i="19"/>
  <c r="M449" i="19"/>
  <c r="M561" i="19"/>
  <c r="M560" i="19"/>
  <c r="M340" i="19"/>
  <c r="M339" i="19"/>
  <c r="J339" i="19" s="1"/>
  <c r="M229" i="19"/>
  <c r="J229" i="19" s="1"/>
  <c r="M230" i="19"/>
  <c r="M119" i="19"/>
  <c r="J118" i="19" s="1"/>
  <c r="J122" i="19" s="1"/>
  <c r="I11" i="17" s="1"/>
  <c r="M118" i="19"/>
  <c r="M7" i="19"/>
  <c r="J6" i="19" s="1"/>
  <c r="J10" i="19" s="1"/>
  <c r="I10" i="17" s="1"/>
  <c r="M6" i="19"/>
  <c r="J32" i="17"/>
  <c r="C31" i="17"/>
  <c r="F9" i="11"/>
  <c r="H15" i="12"/>
  <c r="I15" i="12"/>
  <c r="G15" i="12"/>
  <c r="K15" i="12"/>
  <c r="E15" i="12"/>
  <c r="C15" i="12"/>
  <c r="D15" i="12"/>
  <c r="L15" i="12"/>
  <c r="G9" i="11"/>
  <c r="F15" i="12"/>
  <c r="J15" i="12"/>
  <c r="H16" i="24"/>
  <c r="J16" i="24"/>
  <c r="D29" i="11"/>
  <c r="D35" i="11" s="1"/>
  <c r="D6" i="12"/>
  <c r="D28" i="11"/>
  <c r="D34" i="11" s="1"/>
  <c r="D31" i="11"/>
  <c r="D27" i="11"/>
  <c r="D33" i="11" s="1"/>
  <c r="E6" i="12"/>
  <c r="E27" i="11"/>
  <c r="E33" i="11" s="1"/>
  <c r="E29" i="11"/>
  <c r="E31" i="11"/>
  <c r="E28" i="11"/>
  <c r="E30" i="11"/>
  <c r="F31" i="11"/>
  <c r="F6" i="12"/>
  <c r="F29" i="11"/>
  <c r="F35" i="11" s="1"/>
  <c r="F30" i="11"/>
  <c r="F28" i="11"/>
  <c r="F34" i="11" s="1"/>
  <c r="F27" i="11"/>
  <c r="G28" i="11"/>
  <c r="G34" i="11" s="1"/>
  <c r="G6" i="12"/>
  <c r="G29" i="11"/>
  <c r="G35" i="11" s="1"/>
  <c r="G30" i="11"/>
  <c r="G31" i="11"/>
  <c r="G27" i="11"/>
  <c r="G33" i="11" s="1"/>
  <c r="G36" i="11" s="1"/>
  <c r="H6" i="12"/>
  <c r="H29" i="11"/>
  <c r="H35" i="11" s="1"/>
  <c r="H30" i="11"/>
  <c r="H27" i="11"/>
  <c r="H33" i="11" s="1"/>
  <c r="H28" i="11"/>
  <c r="H34" i="11" s="1"/>
  <c r="H36" i="11" s="1"/>
  <c r="H31" i="11"/>
  <c r="I6" i="12"/>
  <c r="I28" i="11"/>
  <c r="I34" i="11" s="1"/>
  <c r="I27" i="11"/>
  <c r="I33" i="11" s="1"/>
  <c r="I29" i="11"/>
  <c r="I35" i="11" s="1"/>
  <c r="I30" i="11"/>
  <c r="I31" i="11"/>
  <c r="J29" i="11"/>
  <c r="J35" i="11" s="1"/>
  <c r="J27" i="11"/>
  <c r="J33" i="11" s="1"/>
  <c r="J36" i="11" s="1"/>
  <c r="J30" i="11"/>
  <c r="J6" i="12"/>
  <c r="J28" i="11"/>
  <c r="J34" i="11" s="1"/>
  <c r="J31" i="11"/>
  <c r="K28" i="11"/>
  <c r="K34" i="11" s="1"/>
  <c r="K29" i="11"/>
  <c r="K35" i="11" s="1"/>
  <c r="K31" i="11"/>
  <c r="K30" i="11"/>
  <c r="K27" i="11"/>
  <c r="K33" i="11" s="1"/>
  <c r="K36" i="11" s="1"/>
  <c r="K6" i="12"/>
  <c r="L28" i="11"/>
  <c r="L34" i="11" s="1"/>
  <c r="L30" i="11"/>
  <c r="L29" i="11"/>
  <c r="L35" i="11" s="1"/>
  <c r="L27" i="11"/>
  <c r="L33" i="11" s="1"/>
  <c r="L36" i="11" s="1"/>
  <c r="L31" i="11"/>
  <c r="L6" i="12"/>
  <c r="C28" i="11"/>
  <c r="C34" i="11" s="1"/>
  <c r="C31" i="11"/>
  <c r="C6" i="12"/>
  <c r="C29" i="11"/>
  <c r="C35" i="11" s="1"/>
  <c r="C30" i="11"/>
  <c r="C27" i="11"/>
  <c r="C33" i="11" s="1"/>
  <c r="G9" i="24"/>
  <c r="G16" i="24" s="1"/>
  <c r="I16" i="24"/>
  <c r="K16" i="24"/>
  <c r="J48" i="24"/>
  <c r="I48" i="24"/>
  <c r="J40" i="11"/>
  <c r="J38" i="11"/>
  <c r="I40" i="11"/>
  <c r="I38" i="11"/>
  <c r="L40" i="11"/>
  <c r="L38" i="11"/>
  <c r="N9" i="11"/>
  <c r="I36" i="11"/>
  <c r="D36" i="11"/>
  <c r="G105" i="8"/>
  <c r="D93" i="8"/>
  <c r="J105" i="8"/>
  <c r="K105" i="8"/>
  <c r="C105" i="8"/>
  <c r="D105" i="8"/>
  <c r="E93" i="8"/>
  <c r="E105" i="8"/>
  <c r="I93" i="8"/>
  <c r="G93" i="8"/>
  <c r="F93" i="8"/>
  <c r="J93" i="8"/>
  <c r="H93" i="8"/>
  <c r="H105" i="8"/>
  <c r="F105" i="8"/>
  <c r="G65" i="8"/>
  <c r="C93" i="8"/>
  <c r="K93" i="8"/>
  <c r="I105" i="8"/>
  <c r="H65" i="8"/>
  <c r="C60" i="8"/>
  <c r="K60" i="8"/>
  <c r="D60" i="8"/>
  <c r="E65" i="8"/>
  <c r="F65" i="8"/>
  <c r="C65" i="8"/>
  <c r="F60" i="8"/>
  <c r="D65" i="8"/>
  <c r="K65" i="8"/>
  <c r="G60" i="8"/>
  <c r="E60" i="8"/>
  <c r="K16" i="8"/>
  <c r="H60" i="8"/>
  <c r="H22" i="8"/>
  <c r="I60" i="8"/>
  <c r="I65" i="8"/>
  <c r="J60" i="8"/>
  <c r="J65" i="8"/>
  <c r="F28" i="8"/>
  <c r="F13" i="12" s="1"/>
  <c r="H28" i="8"/>
  <c r="H13" i="12" s="1"/>
  <c r="I28" i="8"/>
  <c r="I13" i="12" s="1"/>
  <c r="G28" i="8"/>
  <c r="G13" i="12" s="1"/>
  <c r="J28" i="8"/>
  <c r="J13" i="12" s="1"/>
  <c r="F12" i="8"/>
  <c r="C28" i="8"/>
  <c r="C13" i="12" s="1"/>
  <c r="E28" i="8"/>
  <c r="E13" i="12" s="1"/>
  <c r="L13" i="12"/>
  <c r="D28" i="8"/>
  <c r="D13" i="12" s="1"/>
  <c r="K28" i="8"/>
  <c r="K13" i="12" s="1"/>
  <c r="M13" i="12"/>
  <c r="D10" i="8"/>
  <c r="D7" i="12" s="1"/>
  <c r="G12" i="8"/>
  <c r="F22" i="8"/>
  <c r="E7" i="8"/>
  <c r="E5" i="11" s="1"/>
  <c r="H16" i="8"/>
  <c r="D22" i="8"/>
  <c r="D12" i="8"/>
  <c r="G16" i="8"/>
  <c r="I22" i="8"/>
  <c r="J22" i="8"/>
  <c r="J12" i="8"/>
  <c r="C22" i="8"/>
  <c r="K22" i="8"/>
  <c r="E22" i="8"/>
  <c r="M11" i="12"/>
  <c r="G22" i="8"/>
  <c r="F16" i="8"/>
  <c r="I10" i="8"/>
  <c r="I7" i="12" s="1"/>
  <c r="E16" i="8"/>
  <c r="D16" i="8"/>
  <c r="D7" i="8"/>
  <c r="D5" i="11" s="1"/>
  <c r="J16" i="8"/>
  <c r="L7" i="12"/>
  <c r="L5" i="11"/>
  <c r="J10" i="8"/>
  <c r="J7" i="12" s="1"/>
  <c r="H12" i="8"/>
  <c r="H7" i="8"/>
  <c r="H5" i="11" s="1"/>
  <c r="I12" i="8"/>
  <c r="I7" i="8"/>
  <c r="I5" i="11" s="1"/>
  <c r="I16" i="8"/>
  <c r="G7" i="8"/>
  <c r="G5" i="11" s="1"/>
  <c r="F10" i="8"/>
  <c r="F7" i="12" s="1"/>
  <c r="C12" i="8"/>
  <c r="E12" i="8"/>
  <c r="C16" i="8"/>
  <c r="F7" i="8"/>
  <c r="F5" i="11" s="1"/>
  <c r="H10" i="8"/>
  <c r="H7" i="12" s="1"/>
  <c r="K12" i="8"/>
  <c r="K8" i="12" s="1"/>
  <c r="M8" i="12"/>
  <c r="K7" i="8"/>
  <c r="K5" i="11" s="1"/>
  <c r="G10" i="8"/>
  <c r="G7" i="12" s="1"/>
  <c r="J7" i="8"/>
  <c r="J5" i="11" s="1"/>
  <c r="E10" i="8"/>
  <c r="E7" i="12" s="1"/>
  <c r="K10" i="8"/>
  <c r="K7" i="12" s="1"/>
  <c r="C10" i="8"/>
  <c r="C7" i="12" s="1"/>
  <c r="M7" i="12"/>
  <c r="P14" i="13" l="1"/>
  <c r="P15" i="13"/>
  <c r="P16" i="13"/>
  <c r="P17" i="13"/>
  <c r="P23" i="13" s="1"/>
  <c r="P25" i="13" s="1"/>
  <c r="P27" i="13" s="1"/>
  <c r="P18" i="13"/>
  <c r="P19" i="13"/>
  <c r="O14" i="13"/>
  <c r="O15" i="13"/>
  <c r="O16" i="13"/>
  <c r="O17" i="13"/>
  <c r="O23" i="13" s="1"/>
  <c r="O25" i="13" s="1"/>
  <c r="O27" i="13" s="1"/>
  <c r="O18" i="13"/>
  <c r="O19" i="13"/>
  <c r="Q27" i="13"/>
  <c r="Q23" i="13"/>
  <c r="S13" i="15"/>
  <c r="U13" i="15" s="1"/>
  <c r="D14" i="15"/>
  <c r="G40" i="11"/>
  <c r="G38" i="11"/>
  <c r="E40" i="11"/>
  <c r="E38" i="11"/>
  <c r="K40" i="11"/>
  <c r="K38" i="11"/>
  <c r="D40" i="11"/>
  <c r="D38" i="11"/>
  <c r="H40" i="11"/>
  <c r="H38" i="11"/>
  <c r="C40" i="11"/>
  <c r="C38" i="11"/>
  <c r="F40" i="11"/>
  <c r="F38" i="11"/>
  <c r="I11" i="26"/>
  <c r="J449" i="19"/>
  <c r="J453" i="19" s="1"/>
  <c r="I14" i="17" s="1"/>
  <c r="J14" i="17" s="1"/>
  <c r="J560" i="19"/>
  <c r="J564" i="19"/>
  <c r="J233" i="19"/>
  <c r="I12" i="17" s="1"/>
  <c r="J343" i="19"/>
  <c r="I13" i="17" s="1"/>
  <c r="C33" i="17"/>
  <c r="O31" i="11"/>
  <c r="N31" i="11"/>
  <c r="E35" i="11"/>
  <c r="N29" i="11"/>
  <c r="O29" i="11"/>
  <c r="E34" i="11"/>
  <c r="N28" i="11"/>
  <c r="O28" i="11"/>
  <c r="O30" i="11"/>
  <c r="N30" i="11"/>
  <c r="F33" i="11"/>
  <c r="O27" i="11"/>
  <c r="N27" i="11"/>
  <c r="H48" i="24"/>
  <c r="K48" i="24"/>
  <c r="E67" i="8"/>
  <c r="C67" i="8"/>
  <c r="C30" i="12" s="1"/>
  <c r="C35" i="12"/>
  <c r="D67" i="8"/>
  <c r="K67" i="8"/>
  <c r="K30" i="12" s="1"/>
  <c r="K35" i="12"/>
  <c r="I67" i="8"/>
  <c r="J67" i="8"/>
  <c r="J30" i="12" s="1"/>
  <c r="J35" i="12"/>
  <c r="H67" i="8"/>
  <c r="F67" i="8"/>
  <c r="G67" i="8"/>
  <c r="O35" i="11"/>
  <c r="C36" i="11"/>
  <c r="N34" i="11"/>
  <c r="O34" i="11"/>
  <c r="K9" i="12"/>
  <c r="K17" i="11"/>
  <c r="H18" i="11"/>
  <c r="H11" i="12"/>
  <c r="F18" i="8"/>
  <c r="F24" i="8" s="1"/>
  <c r="F8" i="12"/>
  <c r="G18" i="8"/>
  <c r="G24" i="8" s="1"/>
  <c r="G8" i="12"/>
  <c r="F11" i="12"/>
  <c r="F18" i="11"/>
  <c r="H9" i="12"/>
  <c r="H17" i="11"/>
  <c r="D11" i="12"/>
  <c r="D18" i="11"/>
  <c r="L9" i="12"/>
  <c r="L17" i="11"/>
  <c r="L8" i="12"/>
  <c r="D18" i="8"/>
  <c r="D24" i="8" s="1"/>
  <c r="D8" i="12"/>
  <c r="G9" i="12"/>
  <c r="G17" i="11"/>
  <c r="I18" i="11"/>
  <c r="I11" i="12"/>
  <c r="J18" i="11"/>
  <c r="J11" i="12"/>
  <c r="J13" i="8"/>
  <c r="J11" i="11" s="1"/>
  <c r="J8" i="12"/>
  <c r="C11" i="12"/>
  <c r="C18" i="11"/>
  <c r="K18" i="11"/>
  <c r="K11" i="12"/>
  <c r="L11" i="12"/>
  <c r="L18" i="11"/>
  <c r="E11" i="12"/>
  <c r="E18" i="11"/>
  <c r="G18" i="11"/>
  <c r="G11" i="12"/>
  <c r="F9" i="12"/>
  <c r="F17" i="11"/>
  <c r="E9" i="12"/>
  <c r="E17" i="11"/>
  <c r="D17" i="11"/>
  <c r="D9" i="12"/>
  <c r="N5" i="11"/>
  <c r="O5" i="11"/>
  <c r="J9" i="12"/>
  <c r="J17" i="11"/>
  <c r="H18" i="8"/>
  <c r="H8" i="12"/>
  <c r="I13" i="8"/>
  <c r="I11" i="11" s="1"/>
  <c r="I8" i="12"/>
  <c r="I9" i="12"/>
  <c r="I17" i="11"/>
  <c r="C18" i="8"/>
  <c r="C8" i="12"/>
  <c r="E18" i="8"/>
  <c r="E24" i="8" s="1"/>
  <c r="E8" i="12"/>
  <c r="C9" i="12"/>
  <c r="C17" i="11"/>
  <c r="G107" i="8"/>
  <c r="J107" i="8"/>
  <c r="H107" i="8"/>
  <c r="F107" i="8"/>
  <c r="D107" i="8"/>
  <c r="C107" i="8"/>
  <c r="K107" i="8"/>
  <c r="E107" i="8"/>
  <c r="I107" i="8"/>
  <c r="D13" i="8"/>
  <c r="D11" i="11" s="1"/>
  <c r="F13" i="8"/>
  <c r="F11" i="11" s="1"/>
  <c r="E19" i="8"/>
  <c r="C19" i="8"/>
  <c r="I18" i="8"/>
  <c r="G13" i="8"/>
  <c r="G11" i="11" s="1"/>
  <c r="L11" i="11"/>
  <c r="J18" i="8"/>
  <c r="J24" i="8" s="1"/>
  <c r="C13" i="8"/>
  <c r="C11" i="11" s="1"/>
  <c r="H13" i="8"/>
  <c r="H11" i="11" s="1"/>
  <c r="E13" i="8"/>
  <c r="E11" i="11" s="1"/>
  <c r="K18" i="8"/>
  <c r="K13" i="8"/>
  <c r="K11" i="11" s="1"/>
  <c r="S14" i="15" l="1"/>
  <c r="U14" i="15" s="1"/>
  <c r="D15" i="15"/>
  <c r="I30" i="12"/>
  <c r="I35" i="12"/>
  <c r="C24" i="8"/>
  <c r="I4" i="15" a="1"/>
  <c r="F25" i="8"/>
  <c r="F30" i="8"/>
  <c r="G25" i="8"/>
  <c r="G34" i="24"/>
  <c r="G30" i="8"/>
  <c r="D25" i="8"/>
  <c r="D30" i="8"/>
  <c r="C25" i="8"/>
  <c r="C30" i="8"/>
  <c r="E25" i="8"/>
  <c r="E30" i="8"/>
  <c r="J25" i="8"/>
  <c r="J34" i="24"/>
  <c r="J30" i="8"/>
  <c r="O40" i="11"/>
  <c r="N40" i="11"/>
  <c r="O38" i="11"/>
  <c r="N38" i="11"/>
  <c r="H24" i="8"/>
  <c r="I24" i="8"/>
  <c r="K24" i="8"/>
  <c r="J11" i="26"/>
  <c r="I15" i="17"/>
  <c r="I18" i="17"/>
  <c r="J24" i="17" s="1"/>
  <c r="J25" i="17" s="1"/>
  <c r="I39" i="17" s="1"/>
  <c r="J40" i="17" s="1"/>
  <c r="J17" i="26" s="1"/>
  <c r="D32" i="17"/>
  <c r="D31" i="17"/>
  <c r="L30" i="12"/>
  <c r="L35" i="12"/>
  <c r="N35" i="11"/>
  <c r="E36" i="11"/>
  <c r="O33" i="11"/>
  <c r="N33" i="11"/>
  <c r="F36" i="11"/>
  <c r="D30" i="12"/>
  <c r="D35" i="12"/>
  <c r="G6" i="11"/>
  <c r="G19" i="8"/>
  <c r="J6" i="11"/>
  <c r="E30" i="12"/>
  <c r="E35" i="12"/>
  <c r="E27" i="12"/>
  <c r="E29" i="12"/>
  <c r="E26" i="12"/>
  <c r="E28" i="12"/>
  <c r="E32" i="12"/>
  <c r="E33" i="12"/>
  <c r="E34" i="12"/>
  <c r="E37" i="12"/>
  <c r="E39" i="11"/>
  <c r="C37" i="12"/>
  <c r="C26" i="12"/>
  <c r="C33" i="12"/>
  <c r="C29" i="12"/>
  <c r="C27" i="12"/>
  <c r="C34" i="12"/>
  <c r="C28" i="12"/>
  <c r="C32" i="12"/>
  <c r="C39" i="11"/>
  <c r="D34" i="12"/>
  <c r="D29" i="12"/>
  <c r="D33" i="12"/>
  <c r="D32" i="12"/>
  <c r="D26" i="12"/>
  <c r="D28" i="12"/>
  <c r="D37" i="12"/>
  <c r="D27" i="12"/>
  <c r="D39" i="11"/>
  <c r="L34" i="12"/>
  <c r="L37" i="12"/>
  <c r="L27" i="12"/>
  <c r="L26" i="12"/>
  <c r="L28" i="12"/>
  <c r="L29" i="12"/>
  <c r="L32" i="12"/>
  <c r="L33" i="12"/>
  <c r="L39" i="11"/>
  <c r="K32" i="12"/>
  <c r="K27" i="12"/>
  <c r="K26" i="12"/>
  <c r="K34" i="12"/>
  <c r="K29" i="12"/>
  <c r="K28" i="12"/>
  <c r="K37" i="12"/>
  <c r="K33" i="12"/>
  <c r="K39" i="11"/>
  <c r="I33" i="12"/>
  <c r="I32" i="12"/>
  <c r="I28" i="12"/>
  <c r="I27" i="12"/>
  <c r="I29" i="12"/>
  <c r="I26" i="12"/>
  <c r="I34" i="12"/>
  <c r="I37" i="12"/>
  <c r="I39" i="11"/>
  <c r="J26" i="12"/>
  <c r="J37" i="12"/>
  <c r="J28" i="12"/>
  <c r="J27" i="12"/>
  <c r="J29" i="12"/>
  <c r="J32" i="12"/>
  <c r="J33" i="12"/>
  <c r="J34" i="12"/>
  <c r="J39" i="11"/>
  <c r="H39" i="11"/>
  <c r="H37" i="12"/>
  <c r="H27" i="12"/>
  <c r="H34" i="12"/>
  <c r="H33" i="12"/>
  <c r="H32" i="12"/>
  <c r="H29" i="12"/>
  <c r="H28" i="12"/>
  <c r="H26" i="12"/>
  <c r="H35" i="12"/>
  <c r="H30" i="12"/>
  <c r="F39" i="11"/>
  <c r="F29" i="12"/>
  <c r="F27" i="12"/>
  <c r="F37" i="12"/>
  <c r="F34" i="12"/>
  <c r="F33" i="12"/>
  <c r="F32" i="12"/>
  <c r="F28" i="12"/>
  <c r="F26" i="12"/>
  <c r="F35" i="12"/>
  <c r="F30" i="12"/>
  <c r="G39" i="11"/>
  <c r="G34" i="12"/>
  <c r="G33" i="12"/>
  <c r="G32" i="12"/>
  <c r="G29" i="12"/>
  <c r="G28" i="12"/>
  <c r="G26" i="12"/>
  <c r="G37" i="12"/>
  <c r="G27" i="12"/>
  <c r="G35" i="12"/>
  <c r="G30" i="12"/>
  <c r="K6" i="11"/>
  <c r="E6" i="11"/>
  <c r="I6" i="11"/>
  <c r="L6" i="11"/>
  <c r="F6" i="11"/>
  <c r="F19" i="8"/>
  <c r="D6" i="11"/>
  <c r="D19" i="8"/>
  <c r="H6" i="11"/>
  <c r="H19" i="8"/>
  <c r="N18" i="11"/>
  <c r="O18" i="11"/>
  <c r="N17" i="11"/>
  <c r="O17" i="11"/>
  <c r="D12" i="11"/>
  <c r="D19" i="11" s="1"/>
  <c r="D10" i="12"/>
  <c r="L12" i="11"/>
  <c r="L19" i="11" s="1"/>
  <c r="L10" i="12"/>
  <c r="E10" i="12"/>
  <c r="E12" i="11"/>
  <c r="E19" i="11" s="1"/>
  <c r="H10" i="12"/>
  <c r="H12" i="11"/>
  <c r="H19" i="11" s="1"/>
  <c r="C10" i="12"/>
  <c r="C12" i="11"/>
  <c r="N11" i="11"/>
  <c r="O11" i="11"/>
  <c r="K19" i="8"/>
  <c r="I19" i="8"/>
  <c r="M10" i="12"/>
  <c r="M12" i="12"/>
  <c r="J19" i="8"/>
  <c r="G12" i="26" l="1"/>
  <c r="H12" i="26"/>
  <c r="J12" i="26"/>
  <c r="F12" i="26"/>
  <c r="D23" i="26"/>
  <c r="I12" i="26"/>
  <c r="S15" i="15"/>
  <c r="U15" i="15" s="1"/>
  <c r="D16" i="15"/>
  <c r="I4" i="15"/>
  <c r="J12" i="15"/>
  <c r="J11" i="15"/>
  <c r="J10" i="15"/>
  <c r="J9" i="15"/>
  <c r="J8" i="15"/>
  <c r="J7" i="15"/>
  <c r="J6" i="15"/>
  <c r="J5" i="15"/>
  <c r="I13" i="15"/>
  <c r="D21" i="11"/>
  <c r="D25" i="11"/>
  <c r="D7" i="11"/>
  <c r="D13" i="11"/>
  <c r="D12" i="12"/>
  <c r="C21" i="11"/>
  <c r="C25" i="11"/>
  <c r="C13" i="11"/>
  <c r="C12" i="12"/>
  <c r="C34" i="8"/>
  <c r="C36" i="8"/>
  <c r="C31" i="8"/>
  <c r="E12" i="12"/>
  <c r="E21" i="11"/>
  <c r="E13" i="11"/>
  <c r="E7" i="11"/>
  <c r="E25" i="11"/>
  <c r="E34" i="8"/>
  <c r="E31" i="8"/>
  <c r="E36" i="8"/>
  <c r="G36" i="24"/>
  <c r="G44" i="24"/>
  <c r="J36" i="24"/>
  <c r="J44" i="24"/>
  <c r="H25" i="8"/>
  <c r="H34" i="24"/>
  <c r="H30" i="8"/>
  <c r="I25" i="8"/>
  <c r="I34" i="24"/>
  <c r="I30" i="8"/>
  <c r="K25" i="8"/>
  <c r="K34" i="24"/>
  <c r="K30" i="8"/>
  <c r="G46" i="24"/>
  <c r="G57" i="24"/>
  <c r="J57" i="24"/>
  <c r="J46" i="24"/>
  <c r="J49" i="24" s="1"/>
  <c r="J56" i="24" s="1"/>
  <c r="I17" i="17"/>
  <c r="D35" i="17"/>
  <c r="D33" i="17"/>
  <c r="O36" i="11"/>
  <c r="N36" i="11"/>
  <c r="G31" i="8"/>
  <c r="G36" i="8"/>
  <c r="G34" i="8"/>
  <c r="G13" i="11"/>
  <c r="G25" i="11"/>
  <c r="G10" i="12"/>
  <c r="G12" i="11"/>
  <c r="G19" i="11" s="1"/>
  <c r="F10" i="12"/>
  <c r="F12" i="11"/>
  <c r="F19" i="11" s="1"/>
  <c r="F21" i="11"/>
  <c r="F13" i="11"/>
  <c r="F12" i="12"/>
  <c r="F25" i="11"/>
  <c r="F7" i="11"/>
  <c r="N39" i="11"/>
  <c r="G21" i="11"/>
  <c r="G12" i="12"/>
  <c r="O39" i="11"/>
  <c r="N6" i="11"/>
  <c r="O6" i="11"/>
  <c r="G7" i="11"/>
  <c r="F31" i="8"/>
  <c r="F36" i="8"/>
  <c r="F34" i="8"/>
  <c r="D34" i="8"/>
  <c r="D36" i="8"/>
  <c r="D31" i="8"/>
  <c r="C19" i="11"/>
  <c r="K10" i="12"/>
  <c r="K12" i="11"/>
  <c r="I10" i="12"/>
  <c r="I12" i="11"/>
  <c r="I19" i="11" s="1"/>
  <c r="J12" i="11"/>
  <c r="J19" i="11" s="1"/>
  <c r="J10" i="12"/>
  <c r="J21" i="11"/>
  <c r="J25" i="11"/>
  <c r="J13" i="11"/>
  <c r="J12" i="12"/>
  <c r="M14" i="12"/>
  <c r="M16" i="12"/>
  <c r="J36" i="8"/>
  <c r="J31" i="8"/>
  <c r="J34" i="8"/>
  <c r="S16" i="15" l="1"/>
  <c r="U16" i="15" s="1"/>
  <c r="D17" i="15"/>
  <c r="I14" i="15"/>
  <c r="N13" i="15"/>
  <c r="O13" i="15" s="1"/>
  <c r="E8" i="11"/>
  <c r="C23" i="11"/>
  <c r="C37" i="8"/>
  <c r="C15" i="11" s="1"/>
  <c r="C16" i="12"/>
  <c r="C41" i="8"/>
  <c r="C45" i="8" s="1"/>
  <c r="C47" i="8" s="1"/>
  <c r="C22" i="11" s="1"/>
  <c r="C14" i="12"/>
  <c r="C14" i="11"/>
  <c r="E14" i="12"/>
  <c r="E14" i="11"/>
  <c r="E37" i="8"/>
  <c r="E15" i="11" s="1"/>
  <c r="E41" i="8"/>
  <c r="E45" i="8" s="1"/>
  <c r="E47" i="8" s="1"/>
  <c r="E22" i="11" s="1"/>
  <c r="E16" i="12"/>
  <c r="E23" i="11"/>
  <c r="K25" i="11"/>
  <c r="K21" i="11"/>
  <c r="K13" i="11"/>
  <c r="L21" i="11"/>
  <c r="L13" i="11"/>
  <c r="L25" i="11"/>
  <c r="L12" i="12"/>
  <c r="H36" i="24"/>
  <c r="H57" i="24" s="1"/>
  <c r="H44" i="24"/>
  <c r="H46" i="24" s="1"/>
  <c r="H49" i="24" s="1"/>
  <c r="H12" i="12"/>
  <c r="H25" i="11"/>
  <c r="H21" i="11"/>
  <c r="H13" i="11"/>
  <c r="I36" i="24"/>
  <c r="I57" i="24" s="1"/>
  <c r="I44" i="24"/>
  <c r="I46" i="24" s="1"/>
  <c r="I49" i="24" s="1"/>
  <c r="I56" i="24" s="1"/>
  <c r="K36" i="24"/>
  <c r="K57" i="24" s="1"/>
  <c r="K44" i="24"/>
  <c r="K46" i="24" s="1"/>
  <c r="K49" i="24" s="1"/>
  <c r="K56" i="24" s="1"/>
  <c r="H36" i="8"/>
  <c r="H34" i="8"/>
  <c r="H7" i="11"/>
  <c r="H31" i="8"/>
  <c r="I7" i="11"/>
  <c r="I12" i="12"/>
  <c r="I25" i="11"/>
  <c r="I13" i="11"/>
  <c r="I21" i="11"/>
  <c r="J7" i="11"/>
  <c r="I36" i="8"/>
  <c r="I31" i="8"/>
  <c r="I34" i="8"/>
  <c r="E7" i="26"/>
  <c r="E8" i="26" s="1"/>
  <c r="E10" i="26" s="1"/>
  <c r="K12" i="12"/>
  <c r="L7" i="11"/>
  <c r="K7" i="11"/>
  <c r="K36" i="8"/>
  <c r="K34" i="8"/>
  <c r="K31" i="8"/>
  <c r="J59" i="24"/>
  <c r="J18" i="17"/>
  <c r="J30" i="17" s="1"/>
  <c r="J33" i="17" s="1"/>
  <c r="J17" i="17"/>
  <c r="G14" i="11"/>
  <c r="G14" i="12"/>
  <c r="G23" i="11"/>
  <c r="G37" i="8"/>
  <c r="G15" i="11" s="1"/>
  <c r="G41" i="8"/>
  <c r="G45" i="8" s="1"/>
  <c r="G47" i="8" s="1"/>
  <c r="G22" i="11" s="1"/>
  <c r="G24" i="11" s="1"/>
  <c r="G16" i="12"/>
  <c r="L23" i="11"/>
  <c r="L16" i="12"/>
  <c r="L14" i="11"/>
  <c r="L14" i="12"/>
  <c r="L15" i="11"/>
  <c r="L22" i="11"/>
  <c r="F14" i="11"/>
  <c r="F14" i="12"/>
  <c r="G8" i="11"/>
  <c r="F8" i="11"/>
  <c r="F37" i="8"/>
  <c r="F15" i="11" s="1"/>
  <c r="F23" i="11"/>
  <c r="F16" i="12"/>
  <c r="F41" i="8"/>
  <c r="D16" i="12"/>
  <c r="D23" i="11"/>
  <c r="D8" i="11"/>
  <c r="D37" i="8"/>
  <c r="D15" i="11" s="1"/>
  <c r="D41" i="8"/>
  <c r="D45" i="8" s="1"/>
  <c r="D47" i="8" s="1"/>
  <c r="D22" i="11" s="1"/>
  <c r="D14" i="12"/>
  <c r="D14" i="11"/>
  <c r="K19" i="11"/>
  <c r="N12" i="11"/>
  <c r="O12" i="11"/>
  <c r="J23" i="11"/>
  <c r="J16" i="12"/>
  <c r="J14" i="12"/>
  <c r="J14" i="11"/>
  <c r="J41" i="8"/>
  <c r="J37" i="8"/>
  <c r="J15" i="11" s="1"/>
  <c r="S17" i="15" l="1"/>
  <c r="U17" i="15" s="1"/>
  <c r="D18" i="15"/>
  <c r="S18" i="15" s="1"/>
  <c r="U18" i="15" s="1"/>
  <c r="N14" i="15"/>
  <c r="O14" i="15" s="1"/>
  <c r="I15" i="15"/>
  <c r="E24" i="11"/>
  <c r="K59" i="24"/>
  <c r="I41" i="8"/>
  <c r="I37" i="8"/>
  <c r="I15" i="11" s="1"/>
  <c r="I59" i="24"/>
  <c r="H23" i="11"/>
  <c r="H37" i="8"/>
  <c r="H15" i="11" s="1"/>
  <c r="H16" i="12"/>
  <c r="H8" i="11"/>
  <c r="H41" i="8"/>
  <c r="N7" i="11"/>
  <c r="O7" i="11"/>
  <c r="H14" i="12"/>
  <c r="H14" i="11"/>
  <c r="O14" i="11" s="1"/>
  <c r="I8" i="11"/>
  <c r="I23" i="11"/>
  <c r="I16" i="12"/>
  <c r="J8" i="11"/>
  <c r="I14" i="12"/>
  <c r="I14" i="11"/>
  <c r="L8" i="11"/>
  <c r="K8" i="11"/>
  <c r="K23" i="11"/>
  <c r="K16" i="12"/>
  <c r="K41" i="8"/>
  <c r="K37" i="8"/>
  <c r="K15" i="11" s="1"/>
  <c r="K14" i="12"/>
  <c r="K14" i="11"/>
  <c r="H56" i="24"/>
  <c r="H59" i="24" s="1"/>
  <c r="K51" i="24"/>
  <c r="K50" i="24"/>
  <c r="N25" i="11"/>
  <c r="O25" i="11"/>
  <c r="N21" i="11"/>
  <c r="O21" i="11"/>
  <c r="O13" i="11"/>
  <c r="N13" i="11"/>
  <c r="L24" i="11"/>
  <c r="E42" i="8"/>
  <c r="D42" i="8"/>
  <c r="D24" i="11"/>
  <c r="F42" i="8"/>
  <c r="F45" i="8"/>
  <c r="F47" i="8" s="1"/>
  <c r="F22" i="11" s="1"/>
  <c r="F24" i="11" s="1"/>
  <c r="G42" i="8"/>
  <c r="N19" i="11"/>
  <c r="O19" i="11"/>
  <c r="C24" i="11"/>
  <c r="J45" i="8"/>
  <c r="J47" i="8" s="1"/>
  <c r="J22" i="11" s="1"/>
  <c r="J24" i="11" s="1"/>
  <c r="N15" i="15" l="1"/>
  <c r="O15" i="15" s="1"/>
  <c r="I16" i="15"/>
  <c r="N14" i="11"/>
  <c r="I45" i="8"/>
  <c r="I47" i="8" s="1"/>
  <c r="I22" i="11" s="1"/>
  <c r="I24" i="11" s="1"/>
  <c r="J42" i="8"/>
  <c r="O23" i="11"/>
  <c r="N23" i="11"/>
  <c r="N15" i="11"/>
  <c r="O15" i="11"/>
  <c r="O8" i="11"/>
  <c r="N8" i="11"/>
  <c r="H42" i="8"/>
  <c r="H45" i="8"/>
  <c r="H47" i="8" s="1"/>
  <c r="H22" i="11" s="1"/>
  <c r="I42" i="8"/>
  <c r="K42" i="8"/>
  <c r="K45" i="8"/>
  <c r="K47" i="8" s="1"/>
  <c r="K22" i="11" s="1"/>
  <c r="K24" i="11" s="1"/>
  <c r="F8" i="26"/>
  <c r="F10" i="26" s="1"/>
  <c r="F13" i="26" s="1"/>
  <c r="N16" i="15" l="1"/>
  <c r="O16" i="15" s="1"/>
  <c r="I17" i="15"/>
  <c r="H24" i="11"/>
  <c r="O22" i="11"/>
  <c r="N22" i="11"/>
  <c r="G8" i="26"/>
  <c r="G10" i="26" s="1"/>
  <c r="G13" i="26" s="1"/>
  <c r="N17" i="15" l="1"/>
  <c r="O17" i="15" s="1"/>
  <c r="I18" i="15"/>
  <c r="N18" i="15" s="1"/>
  <c r="O18" i="15" s="1"/>
  <c r="N24" i="11"/>
  <c r="O24" i="11"/>
  <c r="H8" i="26"/>
  <c r="H10" i="26" s="1"/>
  <c r="H13" i="26" s="1"/>
  <c r="J8" i="26" l="1"/>
  <c r="J10" i="26" s="1"/>
  <c r="I8" i="26"/>
  <c r="I10" i="26" s="1"/>
  <c r="I13" i="26" s="1"/>
  <c r="J13" i="26" l="1"/>
  <c r="D31" i="26" s="1"/>
  <c r="D22" i="26"/>
  <c r="D26" i="26" s="1"/>
  <c r="D32" i="26" s="1" a="1"/>
  <c r="D32" i="26" s="1"/>
  <c r="D33" i="26" l="1"/>
  <c r="D36" i="26" s="1"/>
  <c r="D38" i="26" s="1"/>
  <c r="F21" i="26" s="1"/>
  <c r="D41" i="2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<sst xmlns="http://schemas.openxmlformats.org/spreadsheetml/2006/main" count="1074" uniqueCount="518">
  <si>
    <t>COMPANY NAME</t>
  </si>
  <si>
    <t>Sales</t>
  </si>
  <si>
    <t>Expenses</t>
  </si>
  <si>
    <t>Operating Profit</t>
  </si>
  <si>
    <t>Other Income</t>
  </si>
  <si>
    <t>Depreciation</t>
  </si>
  <si>
    <t>Interest</t>
  </si>
  <si>
    <t>Profit before tax</t>
  </si>
  <si>
    <t>Tax</t>
  </si>
  <si>
    <t>Net profit</t>
  </si>
  <si>
    <t>Sales Growth</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</si>
  <si>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</si>
  <si>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</si>
  <si>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</si>
  <si>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</si>
  <si>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</si>
  <si>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</si>
  <si>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</si>
  <si>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</si>
  <si>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</si>
  <si>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</si>
  <si>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</si>
  <si>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</si>
  <si>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</si>
  <si>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</si>
  <si>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</si>
  <si>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</si>
  <si>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</si>
  <si>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</si>
  <si>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</si>
  <si>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</si>
  <si>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</si>
  <si>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</si>
  <si>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HINDUSTAN UNILEVER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</si>
  <si>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</si>
  <si>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</si>
  <si>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</si>
  <si>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</si>
  <si>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</si>
  <si>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</si>
  <si>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</si>
  <si>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</si>
  <si>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</si>
  <si>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</si>
  <si>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</si>
  <si>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</si>
  <si>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</si>
  <si>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</si>
  <si>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</si>
  <si>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</si>
  <si>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</si>
  <si>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</si>
  <si>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</si>
  <si>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</si>
  <si>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</si>
  <si>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</si>
  <si>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LTM</t>
  </si>
  <si>
    <t>#</t>
  </si>
  <si>
    <t>Income Statement</t>
  </si>
  <si>
    <t>-</t>
  </si>
  <si>
    <t>COGS</t>
  </si>
  <si>
    <t>COGS as % Sales</t>
  </si>
  <si>
    <t>Gross Profit</t>
  </si>
  <si>
    <t>Gross Margin</t>
  </si>
  <si>
    <t>Selling &amp; General Expenses</t>
  </si>
  <si>
    <t>S&amp;G as % Sales</t>
  </si>
  <si>
    <t>EBITDA</t>
  </si>
  <si>
    <t>EBITDA as % Sales</t>
  </si>
  <si>
    <t>Depreciation as % Sales</t>
  </si>
  <si>
    <t>Interest as % Sales</t>
  </si>
  <si>
    <t>EBT</t>
  </si>
  <si>
    <t>EBT as % Sales</t>
  </si>
  <si>
    <t>Effective Tax Rate</t>
  </si>
  <si>
    <t>Net Profit</t>
  </si>
  <si>
    <t>Net Margins</t>
  </si>
  <si>
    <t>No of Equity Shares</t>
  </si>
  <si>
    <t>Earnings Per Share</t>
  </si>
  <si>
    <t>Dividends Per Share</t>
  </si>
  <si>
    <t>Earnings Per Share Growth</t>
  </si>
  <si>
    <t>Dividends Payout Ratio</t>
  </si>
  <si>
    <t>Retained Earnings</t>
  </si>
  <si>
    <t>Balance Sheet</t>
  </si>
  <si>
    <t>Total Liabilities</t>
  </si>
  <si>
    <t>Fixed Assets Net Block</t>
  </si>
  <si>
    <t>Total Non-Current Assets</t>
  </si>
  <si>
    <t>Total Current Assets</t>
  </si>
  <si>
    <t>Total Assets</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</si>
  <si>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</si>
  <si>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</si>
  <si>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</si>
  <si>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</si>
  <si>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</si>
  <si>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</si>
  <si>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</si>
  <si>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</si>
  <si>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</si>
  <si>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</si>
  <si>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</si>
  <si>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</si>
  <si>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</si>
  <si>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Other investing items</t>
  </si>
  <si>
    <t>Cash from Financing Activity -</t>
  </si>
  <si>
    <t>Proceeds from shares</t>
  </si>
  <si>
    <t>Proceeds from debentures</t>
  </si>
  <si>
    <t>Proceeds from borrowings</t>
  </si>
  <si>
    <t>Repayment of borrowings</t>
  </si>
  <si>
    <t>Interest paid fin</t>
  </si>
  <si>
    <t>Dividends paid</t>
  </si>
  <si>
    <t>Financial liabilities</t>
  </si>
  <si>
    <t>Other financing items</t>
  </si>
  <si>
    <t>Free Cash Flow</t>
  </si>
  <si>
    <t>CFO/OP</t>
  </si>
  <si>
    <t>Cash Flow Statement</t>
  </si>
  <si>
    <t>Operating Activities</t>
  </si>
  <si>
    <t>Cash From Operating Activities</t>
  </si>
  <si>
    <t>Investing Activities</t>
  </si>
  <si>
    <t>Cash From Investing Activities</t>
  </si>
  <si>
    <t>Financing Activities</t>
  </si>
  <si>
    <t>Loans Advances</t>
  </si>
  <si>
    <t>Operating investments</t>
  </si>
  <si>
    <t>Other WC items</t>
  </si>
  <si>
    <t>Investment income</t>
  </si>
  <si>
    <t>Investment in group cos</t>
  </si>
  <si>
    <t>Redemp n Canc of Shares</t>
  </si>
  <si>
    <t>Redemption of debentures</t>
  </si>
  <si>
    <t>Application money refund</t>
  </si>
  <si>
    <t>Loan &amp; Advances</t>
  </si>
  <si>
    <t>Operating Investments</t>
  </si>
  <si>
    <t>Other WC Items</t>
  </si>
  <si>
    <t>Investment Income</t>
  </si>
  <si>
    <t>Redemption &amp; Cancellation of Shares</t>
  </si>
  <si>
    <t xml:space="preserve"> </t>
  </si>
  <si>
    <t>SalesGrowth</t>
  </si>
  <si>
    <t>EBITDA Growth</t>
  </si>
  <si>
    <t>EBIT Growth</t>
  </si>
  <si>
    <t>NetProfitGrowth</t>
  </si>
  <si>
    <t>Dividend Growth</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</si>
  <si>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</si>
  <si>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</si>
  <si>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</si>
  <si>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</si>
  <si>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</si>
  <si>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</si>
  <si>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</si>
  <si>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</si>
  <si>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</si>
  <si>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</si>
  <si>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</si>
  <si>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</si>
  <si>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Creditor Turnover Ratio</t>
  </si>
  <si>
    <t>Debtor Turnover Ratio</t>
  </si>
  <si>
    <t>Fixed Asset Turnover</t>
  </si>
  <si>
    <t>Inventory Turnover</t>
  </si>
  <si>
    <t>Capital Turnover Ratio</t>
  </si>
  <si>
    <t>Debtor Days</t>
  </si>
  <si>
    <t>Payable Days</t>
  </si>
  <si>
    <t>Inventory Days</t>
  </si>
  <si>
    <t>Cash Conversion Cycle</t>
  </si>
  <si>
    <t>CFO/Sales</t>
  </si>
  <si>
    <t>CFO/Total Assets</t>
  </si>
  <si>
    <t>CFO/Total Debt</t>
  </si>
  <si>
    <t>Mean</t>
  </si>
  <si>
    <t>Median</t>
  </si>
  <si>
    <t>Trends</t>
  </si>
  <si>
    <t xml:space="preserve"># </t>
  </si>
  <si>
    <t>EBIT</t>
  </si>
  <si>
    <t>Year</t>
  </si>
  <si>
    <t>Year Weight</t>
  </si>
  <si>
    <t>Selling &amp;General  Expense</t>
  </si>
  <si>
    <t>Depreciation &amp; Amortisation</t>
  </si>
  <si>
    <t>India</t>
  </si>
  <si>
    <t>Patel Retail</t>
  </si>
  <si>
    <t>Electronics  Mart</t>
  </si>
  <si>
    <t>Shopper's Store</t>
  </si>
  <si>
    <t>V-Mart Retail</t>
  </si>
  <si>
    <t>Vishal Mega Mart</t>
  </si>
  <si>
    <t>Tax Rate</t>
  </si>
  <si>
    <t>Total Equity</t>
  </si>
  <si>
    <t>Total Debt</t>
  </si>
  <si>
    <t>Country</t>
  </si>
  <si>
    <t>Company</t>
  </si>
  <si>
    <t>x`</t>
  </si>
  <si>
    <t>4. Levered Beta = Unlevered Beta*(1+(1-Tax Rate)*Debt/Equity)</t>
  </si>
  <si>
    <t>Weighted Average Cost of Capital</t>
  </si>
  <si>
    <t>3. Unlevered Beta = Levered Beta/(1+(1-Tax Rate)*Debt/Equity)</t>
  </si>
  <si>
    <t>Equity</t>
  </si>
  <si>
    <t>2. Levered Beta is based on 5 year monthly data</t>
  </si>
  <si>
    <t>Debt</t>
  </si>
  <si>
    <t>1. Tax Rate considered as marginal tax rate for the country</t>
  </si>
  <si>
    <t>Total Weight</t>
  </si>
  <si>
    <t>Total Cost</t>
  </si>
  <si>
    <t>Notes:</t>
  </si>
  <si>
    <t>Debt/Equity</t>
  </si>
  <si>
    <t>Levered Beta</t>
  </si>
  <si>
    <t>Total Capital</t>
  </si>
  <si>
    <t>Target Debt/Equity</t>
  </si>
  <si>
    <t>Comps Median Unlevered Beta</t>
  </si>
  <si>
    <t>Target</t>
  </si>
  <si>
    <t>Current</t>
  </si>
  <si>
    <t>Capital Structure</t>
  </si>
  <si>
    <t>Cost of Equity</t>
  </si>
  <si>
    <r>
      <t xml:space="preserve">Levered Beta </t>
    </r>
    <r>
      <rPr>
        <vertAlign val="superscript"/>
        <sz val="11"/>
        <color theme="1"/>
        <rFont val="Calibri"/>
        <family val="2"/>
      </rPr>
      <t>4</t>
    </r>
  </si>
  <si>
    <t>Post-Tax Cost of Debt</t>
  </si>
  <si>
    <t>Equity Risk Premium</t>
  </si>
  <si>
    <t>Risk Free Rate</t>
  </si>
  <si>
    <t>Pre-Tax Cost of Debt</t>
  </si>
  <si>
    <t>Cost of Debt</t>
  </si>
  <si>
    <t>Average</t>
  </si>
  <si>
    <r>
      <t xml:space="preserve">Beta </t>
    </r>
    <r>
      <rPr>
        <vertAlign val="superscript"/>
        <sz val="11"/>
        <color theme="1"/>
        <rFont val="Calibri"/>
        <family val="2"/>
      </rPr>
      <t>3</t>
    </r>
  </si>
  <si>
    <r>
      <t xml:space="preserve">Beta </t>
    </r>
    <r>
      <rPr>
        <vertAlign val="superscript"/>
        <sz val="11"/>
        <color theme="1"/>
        <rFont val="Calibri"/>
        <family val="2"/>
      </rPr>
      <t>2</t>
    </r>
  </si>
  <si>
    <t>Capital</t>
  </si>
  <si>
    <r>
      <t xml:space="preserve">Tax Rate </t>
    </r>
    <r>
      <rPr>
        <vertAlign val="superscript"/>
        <sz val="11"/>
        <color theme="1"/>
        <rFont val="Calibri"/>
        <family val="2"/>
      </rPr>
      <t>1</t>
    </r>
  </si>
  <si>
    <t>Name of the Comp</t>
  </si>
  <si>
    <t>Unlevered</t>
  </si>
  <si>
    <t>Levered</t>
  </si>
  <si>
    <t>Debt /</t>
  </si>
  <si>
    <t>Peer Comps</t>
  </si>
  <si>
    <t>All figures are in INR unless stated otherwise</t>
  </si>
  <si>
    <t>X Variable 1</t>
  </si>
  <si>
    <t>Intercept</t>
  </si>
  <si>
    <t>Upper 95.0%</t>
  </si>
  <si>
    <t>Lower 95.0%</t>
  </si>
  <si>
    <t>Upper 95%</t>
  </si>
  <si>
    <t>Lower 95%</t>
  </si>
  <si>
    <t>P-value</t>
  </si>
  <si>
    <t>t Stat</t>
  </si>
  <si>
    <t>Standard Error</t>
  </si>
  <si>
    <t>Coefficients</t>
  </si>
  <si>
    <t>Residual</t>
  </si>
  <si>
    <t>Regression</t>
  </si>
  <si>
    <t>Significance F</t>
  </si>
  <si>
    <t>F</t>
  </si>
  <si>
    <t>MS</t>
  </si>
  <si>
    <t>SS</t>
  </si>
  <si>
    <t>df</t>
  </si>
  <si>
    <t>ANOVA</t>
  </si>
  <si>
    <t>Observations</t>
  </si>
  <si>
    <t>Adjusted R Square</t>
  </si>
  <si>
    <t>R Square</t>
  </si>
  <si>
    <t>Multiple R</t>
  </si>
  <si>
    <t>Regression Statistics</t>
  </si>
  <si>
    <t>Adjusted Beta</t>
  </si>
  <si>
    <t>Market Beta Weight</t>
  </si>
  <si>
    <t>SUMMARY OUTPUT</t>
  </si>
  <si>
    <t>Market Beta</t>
  </si>
  <si>
    <t>Beta 2</t>
  </si>
  <si>
    <t>Raw Beta Weight</t>
  </si>
  <si>
    <t>Beta 1</t>
  </si>
  <si>
    <t>Levered Raw Beta</t>
  </si>
  <si>
    <t>Returns</t>
  </si>
  <si>
    <t>Closing Price</t>
  </si>
  <si>
    <t>Date</t>
  </si>
  <si>
    <t>Beta Drifting</t>
  </si>
  <si>
    <t>Nifty Weekly Returns</t>
  </si>
  <si>
    <t>Beta 3</t>
  </si>
  <si>
    <t>Regression Beta - 2 Year Weekly</t>
  </si>
  <si>
    <t>Debt / Eq</t>
  </si>
  <si>
    <t>Debt Rs.Cr.</t>
  </si>
  <si>
    <t xml:space="preserve">Mar Cap Rs.Cr. </t>
  </si>
  <si>
    <t>CMP Rs.</t>
  </si>
  <si>
    <t>Name</t>
  </si>
  <si>
    <t>S.No.</t>
  </si>
  <si>
    <t>Equity Capital</t>
  </si>
  <si>
    <t>Borrowings -</t>
  </si>
  <si>
    <t>Long term Borrowings</t>
  </si>
  <si>
    <t>Short term Borrowings</t>
  </si>
  <si>
    <t>Lease Liabilities</t>
  </si>
  <si>
    <t>Other Borrowings</t>
  </si>
  <si>
    <t>Other Liabilities -</t>
  </si>
  <si>
    <t>Non controlling int</t>
  </si>
  <si>
    <t>Trade Payables</t>
  </si>
  <si>
    <t>Other liability items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</si>
  <si>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</si>
  <si>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</si>
  <si>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</si>
  <si>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</si>
  <si>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</si>
  <si>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</si>
  <si>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</si>
  <si>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</si>
  <si>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</si>
  <si>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</si>
  <si>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</si>
  <si>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</si>
  <si>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</si>
  <si>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</si>
  <si>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</si>
  <si>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</si>
  <si>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</si>
  <si>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</si>
  <si>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</si>
  <si>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Particulars</t>
  </si>
  <si>
    <t>Annualized</t>
  </si>
  <si>
    <t>Average Return</t>
  </si>
  <si>
    <t>Calculation for ROIC</t>
  </si>
  <si>
    <t>Current Assets</t>
  </si>
  <si>
    <t>Current Liabilities</t>
  </si>
  <si>
    <t>Total Current Liabilities</t>
  </si>
  <si>
    <t>Net Working Capital</t>
  </si>
  <si>
    <t>Non - Current Assets</t>
  </si>
  <si>
    <t>Net Non - Current Assets</t>
  </si>
  <si>
    <t>Invested Capital</t>
  </si>
  <si>
    <t>ROIC</t>
  </si>
  <si>
    <t>Calculation for Reinvestment Rate</t>
  </si>
  <si>
    <t>Net Capex</t>
  </si>
  <si>
    <t>Change in Working Capital</t>
  </si>
  <si>
    <t>Marginal Tax Rate</t>
  </si>
  <si>
    <t>Reinvestment</t>
  </si>
  <si>
    <t>EBIT(1-T)</t>
  </si>
  <si>
    <t>Reinvestment Rate</t>
  </si>
  <si>
    <t>4 Year Average</t>
  </si>
  <si>
    <t>4 Year Median</t>
  </si>
  <si>
    <t>Calculation for Growth Rate</t>
  </si>
  <si>
    <t>Intrinsic Growth</t>
  </si>
  <si>
    <t>Notes : 1. March 2026 audited report is yet to be released as of the day of preparation of this model. All calculations are done by taking March 2025 as the latest financial year</t>
  </si>
  <si>
    <t>Hindustan Unilever</t>
  </si>
  <si>
    <t>Marico</t>
  </si>
  <si>
    <t>Emami</t>
  </si>
  <si>
    <t>Nestle India</t>
  </si>
  <si>
    <t>Dabur India</t>
  </si>
  <si>
    <t>Godrej Consumer</t>
  </si>
  <si>
    <t>Hindustan Unilever Weekly Returns</t>
  </si>
  <si>
    <t>Adj Close</t>
  </si>
  <si>
    <t>Hindustan Unilver</t>
  </si>
  <si>
    <t>Nifty</t>
  </si>
  <si>
    <t>Nestle Weekly Returns</t>
  </si>
  <si>
    <t>High</t>
  </si>
  <si>
    <t>Low</t>
  </si>
  <si>
    <t>May 13, 2026</t>
  </si>
  <si>
    <t>May 11, 2026</t>
  </si>
  <si>
    <t>May 4, 2026</t>
  </si>
  <si>
    <t>Apr 27, 2026</t>
  </si>
  <si>
    <t>Apr 20, 2026</t>
  </si>
  <si>
    <t>Apr 13, 2026</t>
  </si>
  <si>
    <t>Apr 6, 2026</t>
  </si>
  <si>
    <t>Mar 30, 2026</t>
  </si>
  <si>
    <t>Mar 23, 2026</t>
  </si>
  <si>
    <t>Mar 16, 2026</t>
  </si>
  <si>
    <t>Mar 9, 2026</t>
  </si>
  <si>
    <t>Mar 2, 2026</t>
  </si>
  <si>
    <t>Feb 23, 2026</t>
  </si>
  <si>
    <t>Feb 16, 2026</t>
  </si>
  <si>
    <t>Feb 9, 2026</t>
  </si>
  <si>
    <t>Feb 2, 2026</t>
  </si>
  <si>
    <t>Jan 26, 2026</t>
  </si>
  <si>
    <t>Jan 19, 2026</t>
  </si>
  <si>
    <t>Jan 12, 2026</t>
  </si>
  <si>
    <t>Jan 5, 2026</t>
  </si>
  <si>
    <t>Dec 29, 2025</t>
  </si>
  <si>
    <t>Dec 22, 2025</t>
  </si>
  <si>
    <t>Dec 15, 2025</t>
  </si>
  <si>
    <t>Dec 8, 2025</t>
  </si>
  <si>
    <t>Dec 1, 2025</t>
  </si>
  <si>
    <t>Nov 24, 2025</t>
  </si>
  <si>
    <t>Nov 17, 2025</t>
  </si>
  <si>
    <t>Nov 10, 2025</t>
  </si>
  <si>
    <t>Nov 3, 2025</t>
  </si>
  <si>
    <t>Oct 27, 2025</t>
  </si>
  <si>
    <t>Oct 20, 2025</t>
  </si>
  <si>
    <t>Oct 13, 2025</t>
  </si>
  <si>
    <t>Oct 6, 2025</t>
  </si>
  <si>
    <t>Sep 29, 2025</t>
  </si>
  <si>
    <t>Sep 22, 2025</t>
  </si>
  <si>
    <t>Sep 15, 2025</t>
  </si>
  <si>
    <t>Sep 8, 2025</t>
  </si>
  <si>
    <t>Sep 1, 2025</t>
  </si>
  <si>
    <t>Aug 25, 2025</t>
  </si>
  <si>
    <t>Aug 18, 2025</t>
  </si>
  <si>
    <t>Aug 11, 2025</t>
  </si>
  <si>
    <t>Aug 4, 2025</t>
  </si>
  <si>
    <t>Jul 28, 2025</t>
  </si>
  <si>
    <t>Jul 21, 2025</t>
  </si>
  <si>
    <t>Jul 14, 2025</t>
  </si>
  <si>
    <t>Jul 7, 2025</t>
  </si>
  <si>
    <t>Jun 30, 2025</t>
  </si>
  <si>
    <t>Jun 23, 2025</t>
  </si>
  <si>
    <t>Jun 16, 2025</t>
  </si>
  <si>
    <t>Jun 9, 2025</t>
  </si>
  <si>
    <t>Jun 2, 2025</t>
  </si>
  <si>
    <t>May 26, 2025</t>
  </si>
  <si>
    <t>May 19, 2025</t>
  </si>
  <si>
    <t>May 12, 2025</t>
  </si>
  <si>
    <t>May 5, 2025</t>
  </si>
  <si>
    <t>Apr 28, 2025</t>
  </si>
  <si>
    <t>Apr 21, 2025</t>
  </si>
  <si>
    <t>Apr 14, 2025</t>
  </si>
  <si>
    <t>Apr 7, 2025</t>
  </si>
  <si>
    <t>Mar 31, 2025</t>
  </si>
  <si>
    <t>Mar 24, 2025</t>
  </si>
  <si>
    <t>Mar 17, 2025</t>
  </si>
  <si>
    <t>Mar 10, 2025</t>
  </si>
  <si>
    <t>Mar 3, 2025</t>
  </si>
  <si>
    <t>Feb 24, 2025</t>
  </si>
  <si>
    <t>Feb 17, 2025</t>
  </si>
  <si>
    <t>Feb 10, 2025</t>
  </si>
  <si>
    <t>Feb 3, 2025</t>
  </si>
  <si>
    <t>Jan 27, 2025</t>
  </si>
  <si>
    <t>Jan 20, 2025</t>
  </si>
  <si>
    <t>Jan 13, 2025</t>
  </si>
  <si>
    <t>Jan 6, 2025</t>
  </si>
  <si>
    <t>Dec 30, 2024</t>
  </si>
  <si>
    <t>Dec 23, 2024</t>
  </si>
  <si>
    <t>Dec 16, 2024</t>
  </si>
  <si>
    <t>Dec 9, 2024</t>
  </si>
  <si>
    <t>Dec 2, 2024</t>
  </si>
  <si>
    <t>Nov 25, 2024</t>
  </si>
  <si>
    <t>Nov 18, 2024</t>
  </si>
  <si>
    <t>Nov 11, 2024</t>
  </si>
  <si>
    <t>Nov 4, 2024</t>
  </si>
  <si>
    <t>Oct 28, 2024</t>
  </si>
  <si>
    <t>Oct 21, 2024</t>
  </si>
  <si>
    <t>Oct 14, 2024</t>
  </si>
  <si>
    <t>Oct 7, 2024</t>
  </si>
  <si>
    <t>Sep 30, 2024</t>
  </si>
  <si>
    <t>Sep 23, 2024</t>
  </si>
  <si>
    <t>Sep 16, 2024</t>
  </si>
  <si>
    <t>Sep 9, 2024</t>
  </si>
  <si>
    <t>Sep 2, 2024</t>
  </si>
  <si>
    <t>Aug 26, 2024</t>
  </si>
  <si>
    <t>Aug 19, 2024</t>
  </si>
  <si>
    <t>Aug 12, 2024</t>
  </si>
  <si>
    <t>Aug 5, 2024</t>
  </si>
  <si>
    <t>Jul 29, 2024</t>
  </si>
  <si>
    <t>Jul 22, 2024</t>
  </si>
  <si>
    <t>Jul 15, 2024</t>
  </si>
  <si>
    <t>Jul 8, 2024</t>
  </si>
  <si>
    <t>Jul 1, 2024</t>
  </si>
  <si>
    <t>Jun 24, 2024</t>
  </si>
  <si>
    <t>Jun 17, 2024</t>
  </si>
  <si>
    <t>Jun 10, 2024</t>
  </si>
  <si>
    <t>Jun 3, 2024</t>
  </si>
  <si>
    <t>May 27, 2024</t>
  </si>
  <si>
    <t>May 20, 2024</t>
  </si>
  <si>
    <t>May 13, 2024</t>
  </si>
  <si>
    <t xml:space="preserve">Beta 1 </t>
  </si>
  <si>
    <t>Marico Weekly Returns</t>
  </si>
  <si>
    <t>Marico India</t>
  </si>
  <si>
    <t>GCPL</t>
  </si>
  <si>
    <t>GCPL Weekly Returns</t>
  </si>
  <si>
    <t>Dabur Weekly Returns</t>
  </si>
  <si>
    <t>Dabur</t>
  </si>
  <si>
    <t>Emami Weekly Returns</t>
  </si>
  <si>
    <t>Calculation of PV of FCFF</t>
  </si>
  <si>
    <t>EBIT (1-T)</t>
  </si>
  <si>
    <t>Less :  Reinvestment Rate</t>
  </si>
  <si>
    <t>Free Cash Flow to the Firm</t>
  </si>
  <si>
    <t>Mid Year Convention</t>
  </si>
  <si>
    <t>Discounting Factor</t>
  </si>
  <si>
    <t>PV of FCFF</t>
  </si>
  <si>
    <t>Expected Growth</t>
  </si>
  <si>
    <t>Terminal Growth</t>
  </si>
  <si>
    <t>WACC</t>
  </si>
  <si>
    <t>Calculation of Terminal Value</t>
  </si>
  <si>
    <t>FCCF (n+1)</t>
  </si>
  <si>
    <t>Terminal Growth Rate</t>
  </si>
  <si>
    <t>Terminal Value</t>
  </si>
  <si>
    <t>Calculation of Equity Value</t>
  </si>
  <si>
    <t>PV of Terminal Value</t>
  </si>
  <si>
    <t xml:space="preserve"> Value of Operating Assets</t>
  </si>
  <si>
    <t>Add : Cash</t>
  </si>
  <si>
    <t>Less : Debt</t>
  </si>
  <si>
    <t>Value of Equity</t>
  </si>
  <si>
    <t>No of Shares</t>
  </si>
  <si>
    <t>Equity Value Per Share</t>
  </si>
  <si>
    <t>Share Price</t>
  </si>
  <si>
    <t>Discount/Premium</t>
  </si>
  <si>
    <t>Notes : 1. Base year reinvestment rate provides distortion in the FCFF. The company is spending a lot on new stores.</t>
  </si>
  <si>
    <t>3 Year Average</t>
  </si>
  <si>
    <t>3 Year Median</t>
  </si>
  <si>
    <t>D&amp;A</t>
  </si>
  <si>
    <t>D&amp;A Growth</t>
  </si>
  <si>
    <t>D&amp;A as Sales%</t>
  </si>
  <si>
    <t>Sensitivity Table</t>
  </si>
  <si>
    <t>Return on Markets (NIFTY)</t>
  </si>
  <si>
    <t>Comparable Company Valuation</t>
  </si>
  <si>
    <t>Market Data</t>
  </si>
  <si>
    <t>Financials</t>
  </si>
  <si>
    <t>Valuation</t>
  </si>
  <si>
    <t>Ticker</t>
  </si>
  <si>
    <t>Shares Outstanding</t>
  </si>
  <si>
    <t>Equity Value</t>
  </si>
  <si>
    <t>Net Debt</t>
  </si>
  <si>
    <t>Enterprise Value</t>
  </si>
  <si>
    <t>Revenue</t>
  </si>
  <si>
    <t>Net Income</t>
  </si>
  <si>
    <t>EV/Revenue</t>
  </si>
  <si>
    <t>EV/EBITDA</t>
  </si>
  <si>
    <t>P/E</t>
  </si>
  <si>
    <r>
      <t>75</t>
    </r>
    <r>
      <rPr>
        <vertAlign val="superscript"/>
        <sz val="11"/>
        <color theme="1"/>
        <rFont val="Calibri"/>
        <family val="2"/>
        <scheme val="minor"/>
      </rPr>
      <t>th</t>
    </r>
    <r>
      <rPr>
        <sz val="11"/>
        <color theme="1"/>
        <rFont val="Calibri"/>
        <family val="2"/>
        <scheme val="minor"/>
      </rPr>
      <t xml:space="preserve"> Percentile</t>
    </r>
  </si>
  <si>
    <r>
      <t>25</t>
    </r>
    <r>
      <rPr>
        <vertAlign val="superscript"/>
        <sz val="11"/>
        <color theme="1"/>
        <rFont val="Calibri"/>
        <family val="2"/>
        <scheme val="minor"/>
      </rPr>
      <t>th</t>
    </r>
    <r>
      <rPr>
        <sz val="11"/>
        <color theme="1"/>
        <rFont val="Calibri"/>
        <family val="2"/>
        <scheme val="minor"/>
      </rPr>
      <t xml:space="preserve"> Percentile</t>
    </r>
  </si>
  <si>
    <t>Implied Enteprise Value</t>
  </si>
  <si>
    <t>Implied Market Value</t>
  </si>
  <si>
    <t>Implied Value Per Share</t>
  </si>
  <si>
    <t>Source :- The Valuation School, Screener.in, Yahoo Finance</t>
  </si>
  <si>
    <t>Hind. Unilever</t>
  </si>
  <si>
    <t>No. Eq. Shares Cr.</t>
  </si>
  <si>
    <t>Cash End Rs.Cr.</t>
  </si>
  <si>
    <t>EV Rs.Cr.</t>
  </si>
  <si>
    <t>Sales Rs.Cr.</t>
  </si>
  <si>
    <t>EBIDT Ann Rs.Cr.</t>
  </si>
  <si>
    <t>NP Ann Rs.Cr.</t>
  </si>
  <si>
    <t>EV</t>
  </si>
  <si>
    <t>EMAMILTD</t>
  </si>
  <si>
    <t>DABUR</t>
  </si>
  <si>
    <t>GODREJCP</t>
  </si>
  <si>
    <t>MARICO</t>
  </si>
  <si>
    <t>NESTLEIND</t>
  </si>
  <si>
    <t>HINDUNILVR</t>
  </si>
  <si>
    <t>Godrej Consumer Products</t>
  </si>
  <si>
    <t>Hindustan Unilever Comparable Valuation</t>
  </si>
  <si>
    <t>Football Field Analysis</t>
  </si>
  <si>
    <t>OpenLow</t>
  </si>
  <si>
    <t>OpenHigh</t>
  </si>
  <si>
    <t>Comps</t>
  </si>
  <si>
    <t>DCF Bear</t>
  </si>
  <si>
    <t>DCF Base</t>
  </si>
  <si>
    <t>DCF Bull</t>
  </si>
  <si>
    <t>52W 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</si>
</sst>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_(* #,##0.00_);_(* \(#,##0.00\);_(* &quot;-&quot;??_);_(@_)"/>
    <numFmt numFmtId="165" formatCode="[$-409]mmm\-yy;@"/>
    <numFmt numFmtId="166" formatCode="&quot;₹&quot;\ #,##0.00;\(&quot;₹&quot;\ #,##0.00\)"/>
    <numFmt numFmtId="167" formatCode="0.00&quot;x&quot;"/>
    <numFmt numFmtId="168" formatCode="0&quot; Days&quot;"/>
    <numFmt numFmtId="169" formatCode="0&quot; Day&quot;"/>
    <numFmt numFmtId="170" formatCode="yyyy&quot;A&quot;"/>
    <numFmt numFmtId="171" formatCode="yyyy&quot;E&quot;"/>
    <numFmt numFmtId="172" formatCode="[$-14009]dd/mm/yyyy;@"/>
    <numFmt numFmtId="173" formatCode="&quot;₹&quot;\ #,##0.00"/>
    <numFmt numFmtId="174" formatCode="0.0000%"/>
    <numFmt numFmtId="175" formatCode="0.0000"/>
    <numFmt numFmtId="176" formatCode="mmm/yy&quot;A&quot;"/>
    <numFmt numFmtId="177" formatCode="mmm/yy&quot;F&quot;"/>
    <numFmt numFmtId="178" formatCode="#,##0;\(#,##0\)"/>
    <numFmt numFmtId="179" formatCode="#,##0.00;\(#,##0.00\)"/>
    <numFmt numFmtId="180" formatCode="0.0\x"/>
  </numFmts>
  <fonts count="26" x14ac:knownFonts="1">
    <font>
      <sz val="11"/>
      <color theme="1"/>
      <name val="Calibri"/>
      <family val="2"/>
      <scheme val="minor"/>
    </font>
    <font>
      <sz val="11"/>
      <color theme="1"/>
      <name val="Calibri"/>
      <family val="2"/>
    </font>
    <font>
      <sz val="11"/>
      <color theme="1"/>
      <name val="Calibri"/>
      <family val="2"/>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499984740745262"/>
      <name val="Calibri"/>
      <family val="2"/>
      <scheme val="minor"/>
    </font>
    <font>
      <i/>
      <sz val="11"/>
      <color theme="1"/>
      <name val="Calibri"/>
      <family val="2"/>
      <scheme val="minor"/>
    </font>
    <font>
      <b/>
      <sz val="11"/>
      <color theme="1"/>
      <name val="Calibri"/>
      <family val="2"/>
    </font>
    <font>
      <i/>
      <sz val="9"/>
      <color theme="1"/>
      <name val="Calibri"/>
      <family val="2"/>
    </font>
    <font>
      <sz val="11"/>
      <color rgb="FF3333FF"/>
      <name val="Calibri"/>
      <family val="2"/>
    </font>
    <font>
      <vertAlign val="superscript"/>
      <sz val="11"/>
      <color theme="1"/>
      <name val="Calibri"/>
      <family val="2"/>
    </font>
    <font>
      <sz val="11"/>
      <name val="Calibri"/>
      <family val="2"/>
    </font>
    <font>
      <i/>
      <sz val="11"/>
      <color theme="1"/>
      <name val="Calibri"/>
      <family val="2"/>
    </font>
    <font>
      <b/>
      <sz val="14"/>
      <color theme="1"/>
      <name val="Calibri"/>
      <family val="2"/>
    </font>
    <font>
      <sz val="11"/>
      <color rgb="FF0000FF"/>
      <name val="Calibri"/>
      <family val="2"/>
      <scheme val="minor"/>
    </font>
    <font>
      <i/>
      <sz val="8"/>
      <color theme="1"/>
      <name val="Calibri"/>
      <family val="2"/>
      <scheme val="minor"/>
    </font>
    <font>
      <b/>
      <sz val="11"/>
      <color rgb="FF3333FF"/>
      <name val="Calibri"/>
      <family val="2"/>
    </font>
    <font>
      <b/>
      <sz val="11"/>
      <name val="Calibri"/>
      <family val="2"/>
    </font>
    <font>
      <b/>
      <sz val="11"/>
      <color theme="0"/>
      <name val="Calibri"/>
      <family val="2"/>
    </font>
    <font>
      <i/>
      <sz val="9"/>
      <color theme="1"/>
      <name val="Calibri"/>
      <family val="2"/>
      <scheme val="minor"/>
    </font>
    <font>
      <vertAlign val="superscript"/>
      <sz val="11"/>
      <color theme="1"/>
      <name val="Calibri"/>
      <family val="2"/>
      <scheme val="minor"/>
    </font>
  </fonts>
  <fills count="11">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0" tint="-4.9989318521683403E-2"/>
        <bgColor indexed="64"/>
      </patternFill>
    </fill>
  </fills>
  <borders count="25">
    <border>
      <left/>
      <right/>
      <top/>
      <bottom/>
      <diagonal/>
    </border>
    <border>
      <left/>
      <right/>
      <top style="dashed">
        <color auto="1"/>
      </top>
      <bottom style="dashed">
        <color auto="1"/>
      </bottom>
      <diagonal/>
    </border>
    <border>
      <left/>
      <right/>
      <top/>
      <bottom style="double">
        <color auto="1"/>
      </bottom>
      <diagonal/>
    </border>
    <border>
      <left/>
      <right/>
      <top style="dashed">
        <color auto="1"/>
      </top>
      <bottom style="double">
        <color auto="1"/>
      </bottom>
      <diagonal/>
    </border>
    <border>
      <left/>
      <right/>
      <top style="dotted">
        <color auto="1"/>
      </top>
      <bottom style="dotted">
        <color auto="1"/>
      </bottom>
      <diagonal/>
    </border>
    <border>
      <left/>
      <right/>
      <top style="thin">
        <color auto="1"/>
      </top>
      <bottom style="thin">
        <color auto="1"/>
      </bottom>
      <diagonal/>
    </border>
    <border>
      <left/>
      <right/>
      <top style="thin">
        <color auto="1"/>
      </top>
      <bottom style="double">
        <color auto="1"/>
      </bottom>
      <diagonal/>
    </border>
    <border>
      <left/>
      <right/>
      <top style="hair">
        <color auto="1"/>
      </top>
      <bottom/>
      <diagonal/>
    </border>
    <border>
      <left/>
      <right/>
      <top/>
      <bottom style="thin">
        <color auto="1"/>
      </bottom>
      <diagonal/>
    </border>
    <border>
      <left/>
      <right/>
      <top/>
      <bottom style="hair">
        <color auto="1"/>
      </bottom>
      <diagonal/>
    </border>
    <border>
      <left/>
      <right/>
      <top style="thin">
        <color auto="1"/>
      </top>
      <bottom/>
      <diagonal/>
    </border>
    <border>
      <left/>
      <right/>
      <top/>
      <bottom style="medium">
        <color indexed="64"/>
      </bottom>
      <diagonal/>
    </border>
    <border>
      <left/>
      <right/>
      <top style="medium">
        <color indexed="64"/>
      </top>
      <bottom style="thin">
        <color indexed="64"/>
      </bottom>
      <diagonal/>
    </border>
    <border>
      <left/>
      <right/>
      <top style="hair">
        <color theme="8" tint="-0.499984740745262"/>
      </top>
      <bottom style="hair">
        <color theme="8" tint="-0.499984740745262"/>
      </bottom>
      <diagonal/>
    </border>
    <border>
      <left/>
      <right/>
      <top style="thin">
        <color theme="8" tint="-0.499984740745262"/>
      </top>
      <bottom/>
      <diagonal/>
    </border>
    <border>
      <left/>
      <right/>
      <top style="hair">
        <color theme="8" tint="-0.499984740745262"/>
      </top>
      <bottom/>
      <diagonal/>
    </border>
    <border>
      <left/>
      <right/>
      <top style="thin">
        <color rgb="FF002060"/>
      </top>
      <bottom style="thin">
        <color rgb="FF002060"/>
      </bottom>
      <diagonal/>
    </border>
    <border>
      <left/>
      <right/>
      <top style="double">
        <color theme="8" tint="-0.499984740745262"/>
      </top>
      <bottom style="hair">
        <color theme="8" tint="-0.499984740745262"/>
      </bottom>
      <diagonal/>
    </border>
    <border>
      <left/>
      <right/>
      <top style="thin">
        <color theme="8" tint="-0.499984740745262"/>
      </top>
      <bottom style="thin">
        <color theme="8" tint="-0.499984740745262"/>
      </bottom>
      <diagonal/>
    </border>
    <border>
      <left/>
      <right/>
      <top style="thin">
        <color rgb="FF002060"/>
      </top>
      <bottom/>
      <diagonal/>
    </border>
    <border>
      <left/>
      <right/>
      <top style="thin">
        <color auto="1"/>
      </top>
      <bottom style="medium">
        <color rgb="FF002060"/>
      </bottom>
      <diagonal/>
    </border>
    <border>
      <left/>
      <right/>
      <top/>
      <bottom style="thin">
        <color theme="0" tint="-4.9989318521683403E-2"/>
      </bottom>
      <diagonal/>
    </border>
    <border>
      <left/>
      <right/>
      <top style="hair">
        <color rgb="FF002060"/>
      </top>
      <bottom style="hair">
        <color rgb="FF002060"/>
      </bottom>
      <diagonal/>
    </border>
    <border>
      <left/>
      <right/>
      <top style="hair">
        <color rgb="FF002060"/>
      </top>
      <bottom style="dotted">
        <color rgb="FF002060"/>
      </bottom>
      <diagonal/>
    </border>
    <border>
      <left/>
      <right/>
      <top style="dotted">
        <color rgb="FF002060"/>
      </top>
      <bottom style="medium">
        <color rgb="FF002060"/>
      </bottom>
      <diagonal/>
    </border>
  </borders>
  <cellStyleXfs count="7">
    <xf numFmtId="0" fontId="0" fillId="0" borderId="0"/>
    <xf numFmtId="43" fontId="6" fillId="0" borderId="0" applyFont="0" applyFill="0" applyBorder="0" applyAlignment="0" applyProtection="0"/>
    <xf numFmtId="0" fontId="7" fillId="0" borderId="0" applyNumberFormat="0" applyFill="0" applyBorder="0" applyAlignment="0" applyProtection="0">
      <alignment vertical="top"/>
      <protection locked="0"/>
    </xf>
    <xf numFmtId="0" fontId="8" fillId="2" borderId="0" applyNumberFormat="0" applyBorder="0" applyAlignment="0" applyProtection="0"/>
    <xf numFmtId="9" fontId="6" fillId="0" borderId="0" applyFont="0" applyFill="0" applyBorder="0" applyAlignment="0" applyProtection="0"/>
    <xf numFmtId="0" fontId="3" fillId="0" borderId="0"/>
    <xf numFmtId="9" fontId="3" fillId="0" borderId="0" applyFont="0" applyFill="0" applyBorder="0" applyAlignment="0" applyProtection="0"/>
  </cellStyleXfs>
  <cellXfs count="204">
    <xf numFmtId="0" fontId="0" fillId="0" borderId="0" xfId="0"/>
    <xf numFmtId="43" fontId="4" fillId="0" borderId="0" xfId="1" applyFont="1" applyBorder="1"/>
    <xf numFmtId="0" fontId="4" fillId="0" borderId="0" xfId="0" applyFont="1"/>
    <xf numFmtId="43" fontId="0" fillId="0" borderId="0" xfId="1" applyFont="1" applyBorder="1"/>
    <xf numFmtId="43" fontId="6" fillId="0" borderId="0" xfId="1" applyFont="1" applyBorder="1"/>
    <xf numFmtId="165" fontId="5" fillId="3" borderId="0" xfId="0" applyNumberFormat="1" applyFont="1" applyFill="1" applyAlignment="1">
      <alignment horizontal="center"/>
    </xf>
    <xf numFmtId="165" fontId="5" fillId="3" borderId="0" xfId="1" applyNumberFormat="1" applyFont="1" applyFill="1" applyBorder="1"/>
    <xf numFmtId="165" fontId="9" fillId="0" borderId="0" xfId="1" applyNumberFormat="1" applyFont="1" applyFill="1" applyBorder="1"/>
    <xf numFmtId="164" fontId="0" fillId="0" borderId="0" xfId="1" applyNumberFormat="1" applyFont="1" applyBorder="1"/>
    <xf numFmtId="166" fontId="0" fillId="0" borderId="0" xfId="0" applyNumberFormat="1"/>
    <xf numFmtId="10" fontId="0" fillId="0" borderId="0" xfId="4" applyNumberFormat="1" applyFont="1"/>
    <xf numFmtId="0" fontId="10" fillId="0" borderId="0" xfId="0" applyFont="1"/>
    <xf numFmtId="10" fontId="10" fillId="0" borderId="0" xfId="4" applyNumberFormat="1" applyFont="1"/>
    <xf numFmtId="0" fontId="0" fillId="4" borderId="0" xfId="0" applyFill="1"/>
    <xf numFmtId="0" fontId="5" fillId="4" borderId="0" xfId="0" applyFont="1" applyFill="1"/>
    <xf numFmtId="17" fontId="5" fillId="4" borderId="0" xfId="0" applyNumberFormat="1" applyFont="1" applyFill="1"/>
    <xf numFmtId="0" fontId="4" fillId="5" borderId="0" xfId="0" applyFont="1" applyFill="1"/>
    <xf numFmtId="0" fontId="0" fillId="5" borderId="0" xfId="0" applyFill="1"/>
    <xf numFmtId="10" fontId="10" fillId="0" borderId="0" xfId="4" applyNumberFormat="1" applyFont="1" applyAlignment="1">
      <alignment horizontal="left"/>
    </xf>
    <xf numFmtId="166" fontId="4" fillId="0" borderId="0" xfId="0" applyNumberFormat="1" applyFont="1"/>
    <xf numFmtId="17" fontId="0" fillId="0" borderId="0" xfId="0" applyNumberFormat="1"/>
    <xf numFmtId="3" fontId="0" fillId="0" borderId="0" xfId="0" applyNumberFormat="1"/>
    <xf numFmtId="9" fontId="0" fillId="0" borderId="0" xfId="0" applyNumberFormat="1"/>
    <xf numFmtId="0" fontId="11" fillId="0" borderId="0" xfId="0" applyFont="1"/>
    <xf numFmtId="166" fontId="11" fillId="0" borderId="0" xfId="0" applyNumberFormat="1" applyFont="1"/>
    <xf numFmtId="0" fontId="4" fillId="0" borderId="1" xfId="0" applyFont="1" applyBorder="1"/>
    <xf numFmtId="166" fontId="4" fillId="0" borderId="1" xfId="0" applyNumberFormat="1" applyFont="1" applyBorder="1"/>
    <xf numFmtId="0" fontId="0" fillId="0" borderId="0" xfId="0" applyAlignment="1">
      <alignment wrapText="1"/>
    </xf>
    <xf numFmtId="167" fontId="0" fillId="0" borderId="0" xfId="4" applyNumberFormat="1" applyFont="1"/>
    <xf numFmtId="168" fontId="0" fillId="0" borderId="0" xfId="0" applyNumberFormat="1"/>
    <xf numFmtId="169" fontId="0" fillId="0" borderId="0" xfId="0" applyNumberFormat="1"/>
    <xf numFmtId="0" fontId="0" fillId="0" borderId="1" xfId="0" applyBorder="1"/>
    <xf numFmtId="0" fontId="0" fillId="0" borderId="2" xfId="0" applyBorder="1"/>
    <xf numFmtId="0" fontId="0" fillId="0" borderId="1" xfId="0" applyBorder="1" applyAlignment="1">
      <alignment wrapText="1"/>
    </xf>
    <xf numFmtId="10" fontId="0" fillId="0" borderId="2" xfId="4" applyNumberFormat="1" applyFont="1" applyBorder="1"/>
    <xf numFmtId="10" fontId="0" fillId="0" borderId="0" xfId="0" applyNumberFormat="1"/>
    <xf numFmtId="10" fontId="4" fillId="0" borderId="1" xfId="0" applyNumberFormat="1" applyFont="1" applyBorder="1"/>
    <xf numFmtId="0" fontId="4" fillId="0" borderId="3" xfId="0" applyFont="1" applyBorder="1"/>
    <xf numFmtId="10" fontId="4" fillId="0" borderId="3" xfId="0" applyNumberFormat="1" applyFont="1" applyBorder="1"/>
    <xf numFmtId="0" fontId="0" fillId="0" borderId="0" xfId="0" applyAlignment="1">
      <alignment horizontal="left"/>
    </xf>
    <xf numFmtId="0" fontId="5" fillId="6" borderId="0" xfId="0" applyFont="1" applyFill="1"/>
    <xf numFmtId="0" fontId="0" fillId="0" borderId="0" xfId="0" applyAlignment="1">
      <alignment horizontal="center"/>
    </xf>
    <xf numFmtId="170" fontId="0" fillId="0" borderId="0" xfId="0" applyNumberFormat="1"/>
    <xf numFmtId="171" fontId="0" fillId="7" borderId="0" xfId="0" applyNumberFormat="1" applyFill="1"/>
    <xf numFmtId="166" fontId="0" fillId="7" borderId="0" xfId="0" applyNumberFormat="1" applyFill="1"/>
    <xf numFmtId="10" fontId="0" fillId="7" borderId="0" xfId="4" applyNumberFormat="1" applyFont="1" applyFill="1"/>
    <xf numFmtId="0" fontId="0" fillId="7" borderId="0" xfId="0" applyFill="1" applyAlignment="1">
      <alignment horizontal="left"/>
    </xf>
    <xf numFmtId="0" fontId="4" fillId="0" borderId="4" xfId="0" applyFont="1" applyBorder="1"/>
    <xf numFmtId="0" fontId="0" fillId="0" borderId="4" xfId="0" applyBorder="1"/>
    <xf numFmtId="0" fontId="4" fillId="0" borderId="5" xfId="0" applyFont="1" applyBorder="1"/>
    <xf numFmtId="0" fontId="0" fillId="0" borderId="5" xfId="0" applyBorder="1"/>
    <xf numFmtId="10" fontId="4" fillId="0" borderId="0" xfId="0" applyNumberFormat="1" applyFont="1"/>
    <xf numFmtId="10" fontId="4" fillId="0" borderId="5" xfId="0" applyNumberFormat="1" applyFont="1" applyBorder="1"/>
    <xf numFmtId="10" fontId="4" fillId="0" borderId="4" xfId="0" applyNumberFormat="1" applyFont="1" applyBorder="1"/>
    <xf numFmtId="0" fontId="4" fillId="0" borderId="6" xfId="0" applyFont="1" applyBorder="1"/>
    <xf numFmtId="10" fontId="4" fillId="0" borderId="6" xfId="0" applyNumberFormat="1" applyFont="1" applyBorder="1"/>
    <xf numFmtId="0" fontId="0" fillId="0" borderId="6" xfId="0" applyBorder="1"/>
    <xf numFmtId="166" fontId="4" fillId="0" borderId="6" xfId="0" applyNumberFormat="1" applyFont="1" applyBorder="1"/>
    <xf numFmtId="166" fontId="4" fillId="0" borderId="5" xfId="0" applyNumberFormat="1" applyFont="1" applyBorder="1"/>
    <xf numFmtId="0" fontId="3" fillId="0" borderId="0" xfId="5"/>
    <xf numFmtId="9" fontId="0" fillId="0" borderId="0" xfId="6" applyFont="1"/>
    <xf numFmtId="3" fontId="3" fillId="0" borderId="0" xfId="5" applyNumberFormat="1"/>
    <xf numFmtId="0" fontId="13" fillId="0" borderId="0" xfId="5" applyFont="1"/>
    <xf numFmtId="10" fontId="3" fillId="7" borderId="7" xfId="5" applyNumberFormat="1" applyFill="1" applyBorder="1"/>
    <xf numFmtId="0" fontId="3" fillId="0" borderId="7" xfId="5" applyBorder="1"/>
    <xf numFmtId="10" fontId="3" fillId="0" borderId="0" xfId="5" applyNumberFormat="1"/>
    <xf numFmtId="0" fontId="3" fillId="0" borderId="8" xfId="5" applyBorder="1"/>
    <xf numFmtId="0" fontId="12" fillId="0" borderId="8" xfId="5" applyFont="1" applyBorder="1"/>
    <xf numFmtId="10" fontId="0" fillId="7" borderId="0" xfId="6" applyNumberFormat="1" applyFont="1" applyFill="1"/>
    <xf numFmtId="2" fontId="3" fillId="0" borderId="7" xfId="5" applyNumberFormat="1" applyBorder="1"/>
    <xf numFmtId="2" fontId="14" fillId="0" borderId="0" xfId="5" applyNumberFormat="1" applyFont="1"/>
    <xf numFmtId="9" fontId="3" fillId="0" borderId="0" xfId="5" applyNumberFormat="1"/>
    <xf numFmtId="10" fontId="3" fillId="0" borderId="9" xfId="5" applyNumberFormat="1" applyBorder="1"/>
    <xf numFmtId="10" fontId="0" fillId="0" borderId="9" xfId="6" applyNumberFormat="1" applyFont="1" applyBorder="1"/>
    <xf numFmtId="2" fontId="14" fillId="0" borderId="9" xfId="5" applyNumberFormat="1" applyFont="1" applyBorder="1"/>
    <xf numFmtId="0" fontId="3" fillId="0" borderId="9" xfId="5" applyBorder="1"/>
    <xf numFmtId="10" fontId="0" fillId="0" borderId="0" xfId="6" applyNumberFormat="1" applyFont="1"/>
    <xf numFmtId="2" fontId="3" fillId="0" borderId="0" xfId="5" applyNumberFormat="1"/>
    <xf numFmtId="0" fontId="12" fillId="0" borderId="8" xfId="5" applyFont="1" applyBorder="1" applyAlignment="1">
      <alignment horizontal="right"/>
    </xf>
    <xf numFmtId="0" fontId="3" fillId="0" borderId="10" xfId="5" applyBorder="1"/>
    <xf numFmtId="0" fontId="12" fillId="0" borderId="0" xfId="5" applyFont="1"/>
    <xf numFmtId="2" fontId="3" fillId="0" borderId="8" xfId="5" applyNumberFormat="1" applyBorder="1"/>
    <xf numFmtId="10" fontId="0" fillId="0" borderId="8" xfId="6" applyNumberFormat="1" applyFont="1" applyBorder="1"/>
    <xf numFmtId="9" fontId="3" fillId="0" borderId="8" xfId="5" applyNumberFormat="1" applyBorder="1"/>
    <xf numFmtId="2" fontId="3" fillId="0" borderId="10" xfId="5" applyNumberFormat="1" applyBorder="1"/>
    <xf numFmtId="10" fontId="0" fillId="0" borderId="10" xfId="6" applyNumberFormat="1" applyFont="1" applyBorder="1"/>
    <xf numFmtId="9" fontId="3" fillId="0" borderId="10" xfId="5" applyNumberFormat="1" applyBorder="1"/>
    <xf numFmtId="0" fontId="12" fillId="0" borderId="10" xfId="5" applyFont="1" applyBorder="1"/>
    <xf numFmtId="9" fontId="14" fillId="0" borderId="0" xfId="6" applyFont="1"/>
    <xf numFmtId="0" fontId="14" fillId="0" borderId="0" xfId="5" applyFont="1"/>
    <xf numFmtId="0" fontId="3" fillId="0" borderId="10" xfId="5" applyBorder="1" applyAlignment="1">
      <alignment horizontal="left" vertical="top"/>
    </xf>
    <xf numFmtId="0" fontId="17" fillId="0" borderId="0" xfId="5" applyFont="1"/>
    <xf numFmtId="0" fontId="3" fillId="8" borderId="0" xfId="5" applyFill="1"/>
    <xf numFmtId="0" fontId="18" fillId="8" borderId="0" xfId="5" applyFont="1" applyFill="1"/>
    <xf numFmtId="4" fontId="3" fillId="0" borderId="0" xfId="5" applyNumberFormat="1"/>
    <xf numFmtId="2" fontId="12" fillId="7" borderId="10" xfId="5" applyNumberFormat="1" applyFont="1" applyFill="1" applyBorder="1"/>
    <xf numFmtId="0" fontId="12" fillId="7" borderId="10" xfId="5" applyFont="1" applyFill="1" applyBorder="1"/>
    <xf numFmtId="0" fontId="3" fillId="0" borderId="0" xfId="5" applyAlignment="1">
      <alignment horizontal="center"/>
    </xf>
    <xf numFmtId="9" fontId="12" fillId="0" borderId="8" xfId="6" applyFont="1" applyBorder="1"/>
    <xf numFmtId="14" fontId="3" fillId="0" borderId="0" xfId="5" applyNumberFormat="1"/>
    <xf numFmtId="172" fontId="3" fillId="0" borderId="0" xfId="5" applyNumberFormat="1"/>
    <xf numFmtId="17" fontId="5" fillId="6" borderId="0" xfId="0" applyNumberFormat="1" applyFont="1" applyFill="1"/>
    <xf numFmtId="3" fontId="4" fillId="0" borderId="0" xfId="0" applyNumberFormat="1" applyFont="1"/>
    <xf numFmtId="3" fontId="0" fillId="0" borderId="7" xfId="0" applyNumberFormat="1" applyBorder="1"/>
    <xf numFmtId="166" fontId="0" fillId="0" borderId="9" xfId="0" applyNumberFormat="1" applyBorder="1"/>
    <xf numFmtId="0" fontId="8" fillId="6" borderId="0" xfId="0" applyFont="1" applyFill="1"/>
    <xf numFmtId="10" fontId="4" fillId="7" borderId="0" xfId="4" applyNumberFormat="1" applyFont="1" applyFill="1"/>
    <xf numFmtId="10" fontId="4" fillId="7" borderId="0" xfId="0" applyNumberFormat="1" applyFont="1" applyFill="1"/>
    <xf numFmtId="0" fontId="4" fillId="0" borderId="10" xfId="0" applyFont="1" applyBorder="1"/>
    <xf numFmtId="166" fontId="4" fillId="0" borderId="10" xfId="0" applyNumberFormat="1" applyFont="1" applyBorder="1"/>
    <xf numFmtId="0" fontId="0" fillId="0" borderId="13" xfId="0" applyBorder="1"/>
    <xf numFmtId="166" fontId="0" fillId="0" borderId="13" xfId="0" applyNumberFormat="1" applyBorder="1"/>
    <xf numFmtId="0" fontId="0" fillId="0" borderId="15" xfId="0" applyBorder="1"/>
    <xf numFmtId="166" fontId="0" fillId="0" borderId="15" xfId="0" applyNumberFormat="1" applyBorder="1"/>
    <xf numFmtId="0" fontId="4" fillId="0" borderId="14" xfId="0" applyFont="1" applyBorder="1"/>
    <xf numFmtId="166" fontId="4" fillId="0" borderId="14" xfId="0" applyNumberFormat="1" applyFont="1" applyBorder="1"/>
    <xf numFmtId="173" fontId="0" fillId="0" borderId="0" xfId="0" applyNumberFormat="1"/>
    <xf numFmtId="0" fontId="4" fillId="0" borderId="16" xfId="0" applyFont="1" applyBorder="1"/>
    <xf numFmtId="173" fontId="4" fillId="0" borderId="16" xfId="0" applyNumberFormat="1" applyFont="1" applyBorder="1"/>
    <xf numFmtId="166" fontId="4" fillId="0" borderId="17" xfId="0" applyNumberFormat="1" applyFont="1" applyBorder="1"/>
    <xf numFmtId="0" fontId="4" fillId="0" borderId="18" xfId="0" applyFont="1" applyBorder="1"/>
    <xf numFmtId="166" fontId="4" fillId="0" borderId="18" xfId="0" applyNumberFormat="1" applyFont="1" applyBorder="1"/>
    <xf numFmtId="0" fontId="4" fillId="0" borderId="19" xfId="0" applyFont="1" applyBorder="1"/>
    <xf numFmtId="173" fontId="4" fillId="0" borderId="19" xfId="0" applyNumberFormat="1" applyFont="1" applyBorder="1"/>
    <xf numFmtId="10" fontId="4" fillId="0" borderId="16" xfId="4" applyNumberFormat="1" applyFont="1" applyBorder="1"/>
    <xf numFmtId="166" fontId="0" fillId="0" borderId="0" xfId="0" applyNumberFormat="1" applyAlignment="1">
      <alignment horizontal="center"/>
    </xf>
    <xf numFmtId="9" fontId="19" fillId="0" borderId="0" xfId="4" applyFont="1"/>
    <xf numFmtId="0" fontId="0" fillId="7" borderId="0" xfId="0" applyFill="1"/>
    <xf numFmtId="9" fontId="0" fillId="7" borderId="0" xfId="0" applyNumberFormat="1" applyFill="1"/>
    <xf numFmtId="173" fontId="4" fillId="0" borderId="16" xfId="0" applyNumberFormat="1" applyFont="1" applyBorder="1" applyAlignment="1">
      <alignment horizontal="center"/>
    </xf>
    <xf numFmtId="0" fontId="20" fillId="7" borderId="0" xfId="0" applyFont="1" applyFill="1"/>
    <xf numFmtId="0" fontId="21" fillId="0" borderId="0" xfId="5" applyFont="1"/>
    <xf numFmtId="2" fontId="21" fillId="0" borderId="0" xfId="5" applyNumberFormat="1" applyFont="1"/>
    <xf numFmtId="4" fontId="21" fillId="0" borderId="0" xfId="5" applyNumberFormat="1" applyFont="1"/>
    <xf numFmtId="9" fontId="21" fillId="0" borderId="0" xfId="6" applyFont="1"/>
    <xf numFmtId="0" fontId="2" fillId="0" borderId="0" xfId="5" applyFont="1"/>
    <xf numFmtId="2" fontId="2" fillId="0" borderId="0" xfId="5" applyNumberFormat="1" applyFont="1" applyAlignment="1">
      <alignment horizontal="right"/>
    </xf>
    <xf numFmtId="174" fontId="22" fillId="7" borderId="0" xfId="6" applyNumberFormat="1" applyFont="1" applyFill="1"/>
    <xf numFmtId="174" fontId="16" fillId="7" borderId="0" xfId="6" applyNumberFormat="1" applyFont="1" applyFill="1"/>
    <xf numFmtId="0" fontId="5" fillId="6" borderId="0" xfId="0" applyFont="1" applyFill="1" applyAlignment="1">
      <alignment horizontal="right"/>
    </xf>
    <xf numFmtId="17" fontId="5" fillId="6" borderId="0" xfId="0" applyNumberFormat="1" applyFont="1" applyFill="1" applyAlignment="1">
      <alignment horizontal="center"/>
    </xf>
    <xf numFmtId="0" fontId="0" fillId="0" borderId="11" xfId="0" applyBorder="1"/>
    <xf numFmtId="0" fontId="11" fillId="0" borderId="12" xfId="0" applyFont="1" applyBorder="1" applyAlignment="1">
      <alignment horizontal="center"/>
    </xf>
    <xf numFmtId="0" fontId="11" fillId="0" borderId="12" xfId="0" applyFont="1" applyBorder="1" applyAlignment="1">
      <alignment horizontal="centerContinuous"/>
    </xf>
    <xf numFmtId="175" fontId="12" fillId="7" borderId="0" xfId="5" applyNumberFormat="1" applyFont="1" applyFill="1"/>
    <xf numFmtId="0" fontId="1" fillId="0" borderId="0" xfId="5" applyFont="1"/>
    <xf numFmtId="14" fontId="1" fillId="0" borderId="0" xfId="5" applyNumberFormat="1" applyFont="1"/>
    <xf numFmtId="14" fontId="3" fillId="0" borderId="0" xfId="4" applyNumberFormat="1" applyFont="1"/>
    <xf numFmtId="14" fontId="1" fillId="0" borderId="0" xfId="4" applyNumberFormat="1" applyFont="1"/>
    <xf numFmtId="175" fontId="1" fillId="7" borderId="0" xfId="5" applyNumberFormat="1" applyFont="1" applyFill="1"/>
    <xf numFmtId="14" fontId="0" fillId="0" borderId="0" xfId="0" applyNumberFormat="1"/>
    <xf numFmtId="14" fontId="0" fillId="0" borderId="0" xfId="1" applyNumberFormat="1" applyFont="1" applyBorder="1"/>
    <xf numFmtId="176" fontId="5" fillId="6" borderId="0" xfId="0" applyNumberFormat="1" applyFont="1" applyFill="1"/>
    <xf numFmtId="177" fontId="5" fillId="6" borderId="0" xfId="0" applyNumberFormat="1" applyFont="1" applyFill="1"/>
    <xf numFmtId="2" fontId="0" fillId="0" borderId="0" xfId="0" applyNumberFormat="1"/>
    <xf numFmtId="9" fontId="19" fillId="10" borderId="0" xfId="0" applyNumberFormat="1" applyFont="1" applyFill="1"/>
    <xf numFmtId="9" fontId="19" fillId="0" borderId="0" xfId="0" applyNumberFormat="1" applyFont="1"/>
    <xf numFmtId="9" fontId="0" fillId="10" borderId="0" xfId="0" applyNumberFormat="1" applyFill="1"/>
    <xf numFmtId="0" fontId="0" fillId="10" borderId="0" xfId="0" applyFill="1"/>
    <xf numFmtId="10" fontId="0" fillId="4" borderId="0" xfId="0" applyNumberFormat="1" applyFill="1"/>
    <xf numFmtId="0" fontId="4" fillId="0" borderId="20" xfId="0" applyFont="1" applyBorder="1"/>
    <xf numFmtId="0" fontId="4" fillId="10" borderId="20" xfId="0" applyFont="1" applyFill="1" applyBorder="1"/>
    <xf numFmtId="2" fontId="4" fillId="0" borderId="20" xfId="0" applyNumberFormat="1" applyFont="1" applyBorder="1"/>
    <xf numFmtId="10" fontId="0" fillId="7" borderId="0" xfId="0" applyNumberFormat="1" applyFill="1"/>
    <xf numFmtId="2" fontId="8" fillId="0" borderId="0" xfId="0" applyNumberFormat="1" applyFont="1"/>
    <xf numFmtId="10" fontId="4" fillId="0" borderId="0" xfId="4" applyNumberFormat="1" applyFont="1"/>
    <xf numFmtId="2" fontId="4" fillId="0" borderId="0" xfId="0" applyNumberFormat="1" applyFont="1"/>
    <xf numFmtId="43" fontId="0" fillId="0" borderId="0" xfId="0" applyNumberFormat="1"/>
    <xf numFmtId="43" fontId="4" fillId="0" borderId="20" xfId="0" applyNumberFormat="1" applyFont="1" applyBorder="1"/>
    <xf numFmtId="167" fontId="0" fillId="7" borderId="0" xfId="4" applyNumberFormat="1" applyFont="1" applyFill="1"/>
    <xf numFmtId="0" fontId="24" fillId="0" borderId="0" xfId="0" applyFont="1"/>
    <xf numFmtId="0" fontId="4" fillId="0" borderId="8" xfId="0" applyFont="1" applyBorder="1"/>
    <xf numFmtId="0" fontId="0" fillId="0" borderId="8" xfId="0" applyBorder="1"/>
    <xf numFmtId="0" fontId="0" fillId="0" borderId="8" xfId="0" applyBorder="1" applyAlignment="1">
      <alignment horizontal="right"/>
    </xf>
    <xf numFmtId="0" fontId="5" fillId="6" borderId="0" xfId="0" applyFont="1" applyFill="1" applyAlignment="1">
      <alignment wrapText="1"/>
    </xf>
    <xf numFmtId="0" fontId="5" fillId="0" borderId="0" xfId="0" applyFont="1"/>
    <xf numFmtId="0" fontId="5" fillId="0" borderId="0" xfId="0" applyFont="1" applyAlignment="1">
      <alignment wrapText="1"/>
    </xf>
    <xf numFmtId="0" fontId="4" fillId="7" borderId="22" xfId="0" applyFont="1" applyFill="1" applyBorder="1" applyAlignment="1">
      <alignment horizontal="left"/>
    </xf>
    <xf numFmtId="178" fontId="4" fillId="7" borderId="22" xfId="0" applyNumberFormat="1" applyFont="1" applyFill="1" applyBorder="1"/>
    <xf numFmtId="179" fontId="4" fillId="7" borderId="22" xfId="0" applyNumberFormat="1" applyFont="1" applyFill="1" applyBorder="1"/>
    <xf numFmtId="179" fontId="0" fillId="7" borderId="22" xfId="0" applyNumberFormat="1" applyFill="1" applyBorder="1"/>
    <xf numFmtId="0" fontId="0" fillId="7" borderId="22" xfId="0" applyFill="1" applyBorder="1"/>
    <xf numFmtId="180" fontId="4" fillId="7" borderId="22" xfId="0" applyNumberFormat="1" applyFont="1" applyFill="1" applyBorder="1"/>
    <xf numFmtId="0" fontId="0" fillId="0" borderId="22" xfId="0" applyBorder="1" applyAlignment="1">
      <alignment horizontal="left"/>
    </xf>
    <xf numFmtId="178" fontId="0" fillId="0" borderId="22" xfId="0" applyNumberFormat="1" applyBorder="1"/>
    <xf numFmtId="179" fontId="0" fillId="0" borderId="22" xfId="0" applyNumberFormat="1" applyBorder="1"/>
    <xf numFmtId="0" fontId="0" fillId="0" borderId="22" xfId="0" applyBorder="1"/>
    <xf numFmtId="180" fontId="0" fillId="0" borderId="22" xfId="0" applyNumberFormat="1" applyBorder="1"/>
    <xf numFmtId="180" fontId="0" fillId="7" borderId="0" xfId="0" applyNumberFormat="1" applyFill="1"/>
    <xf numFmtId="0" fontId="4" fillId="7" borderId="0" xfId="0" applyFont="1" applyFill="1"/>
    <xf numFmtId="180" fontId="4" fillId="7" borderId="0" xfId="0" applyNumberFormat="1" applyFont="1" applyFill="1"/>
    <xf numFmtId="0" fontId="0" fillId="0" borderId="23" xfId="0" applyBorder="1"/>
    <xf numFmtId="179" fontId="0" fillId="0" borderId="23" xfId="0" applyNumberFormat="1" applyBorder="1"/>
    <xf numFmtId="0" fontId="4" fillId="7" borderId="24" xfId="0" applyFont="1" applyFill="1" applyBorder="1"/>
    <xf numFmtId="178" fontId="4" fillId="7" borderId="24" xfId="0" applyNumberFormat="1" applyFont="1" applyFill="1" applyBorder="1"/>
    <xf numFmtId="0" fontId="20" fillId="0" borderId="0" xfId="0" applyFont="1"/>
    <xf numFmtId="10" fontId="5" fillId="6" borderId="0" xfId="4" applyNumberFormat="1" applyFont="1" applyFill="1" applyAlignment="1">
      <alignment horizontal="center"/>
    </xf>
    <xf numFmtId="0" fontId="5" fillId="6" borderId="0" xfId="0" applyFont="1" applyFill="1" applyAlignment="1">
      <alignment horizontal="center"/>
    </xf>
    <xf numFmtId="0" fontId="4" fillId="0" borderId="0" xfId="0" applyFont="1" applyAlignment="1">
      <alignment horizontal="center"/>
    </xf>
    <xf numFmtId="0" fontId="12" fillId="9" borderId="0" xfId="5" applyFont="1" applyFill="1" applyAlignment="1">
      <alignment horizontal="center"/>
    </xf>
    <xf numFmtId="0" fontId="23" fillId="6" borderId="0" xfId="5" applyFont="1" applyFill="1" applyAlignment="1">
      <alignment horizontal="center"/>
    </xf>
    <xf numFmtId="0" fontId="5" fillId="6" borderId="21" xfId="0" applyFont="1" applyFill="1" applyBorder="1" applyAlignment="1">
      <alignment horizontal="center"/>
    </xf>
    <xf numFmtId="43" fontId="7" fillId="0" borderId="0" xfId="2" applyNumberFormat="1" applyBorder="1" applyAlignment="1" applyProtection="1">
      <alignment horizontal="center"/>
    </xf>
    <xf numFmtId="43" fontId="5" fillId="2" borderId="0" xfId="3" applyNumberFormat="1" applyFont="1" applyBorder="1" applyAlignment="1">
      <alignment horizontal="center"/>
    </xf>
  </cellXfs>
  <cellStyles count="7">
    <cellStyle name="Accent6" xfId="3" builtinId="49"/>
    <cellStyle name="Comma" xfId="1" builtinId="3"/>
    <cellStyle name="Hyperlink" xfId="2" builtinId="8"/>
    <cellStyle name="Normal" xfId="0" builtinId="0"/>
    <cellStyle name="Normal 2" xfId="5" xr:uid="{289CCB87-2D96-4057-AA80-FC445AC0A8C9}"/>
    <cellStyle name="Percent" xfId="4" builtinId="5"/>
    <cellStyle name="Percent 2" xfId="6" xr:uid="{E22AC71B-B1F5-4DDE-B6DE-68C0075E3F0E}"/>
  </cellStyles>
  <dxfs count="1">
    <dxf>
      <font>
        <b/>
        <i val="0"/>
        <color theme="0"/>
      </font>
      <fill>
        <patternFill>
          <bgColor theme="5"/>
        </patternFill>
      </fill>
    </dxf>
  </dxfs>
  <tableStyles count="0" defaultTableStyle="TableStyleMedium9" defaultPivotStyle="PivotStyleLight16"/>
  <colors>
    <mruColors>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930976066486625"/>
          <c:y val="0.17083915358037871"/>
          <c:w val="0.70144318971705966"/>
          <c:h val="0.67086762459777272"/>
        </c:manualLayout>
      </c:layout>
      <c:stockChart>
        <c:ser>
          <c:idx val="0"/>
          <c:order val="0"/>
          <c:spPr>
            <a:ln w="25400" cap="rnd">
              <a:noFill/>
              <a:round/>
            </a:ln>
            <a:effectLst/>
          </c:spPr>
          <c:marker>
            <c:symbol val="none"/>
          </c:marker>
          <c:cat>
            <c:strRef>
              <c:f>'Football Field'!$M$4:$M$8</c:f>
              <c:strCache>
                <c:ptCount val="5"/>
                <c:pt idx="0">
                  <c:v>Comps</c:v>
                </c:pt>
                <c:pt idx="1">
                  <c:v>DCF Bear</c:v>
                </c:pt>
                <c:pt idx="2">
                  <c:v>DCF Base</c:v>
                </c:pt>
                <c:pt idx="3">
                  <c:v>DCF Bull</c:v>
                </c:pt>
                <c:pt idx="4">
                  <c:v>52W H/L</c:v>
                </c:pt>
              </c:strCache>
            </c:strRef>
          </c:cat>
          <c:val>
            <c:numRef>
              <c:f>'Football Field'!$N$4:$N$8</c:f>
              <c:numCache>
                <c:formatCode>0.00</c:formatCode>
                <c:ptCount val="5"/>
                <c:pt idx="0">
                  <c:v>2065.9499884071338</c:v>
                </c:pt>
                <c:pt idx="1">
                  <c:v>741.13878265816936</c:v>
                </c:pt>
                <c:pt idx="2">
                  <c:v>815.25549724303039</c:v>
                </c:pt>
                <c:pt idx="3">
                  <c:v>1132.4401479839419</c:v>
                </c:pt>
                <c:pt idx="4">
                  <c:v>2022.5</c:v>
                </c:pt>
              </c:numCache>
            </c:numRef>
          </c:val>
          <c:smooth val="0"/>
          <c:extLst>
            <c:ext xmlns:c16="http://schemas.microsoft.com/office/drawing/2014/chart" uri="{C3380CC4-5D6E-409C-BE32-E72D297353CC}">
              <c16:uniqueId val="{00000000-E4FD-4C26-9839-80F7939CDB17}"/>
            </c:ext>
          </c:extLst>
        </c:ser>
        <c:ser>
          <c:idx val="1"/>
          <c:order val="1"/>
          <c:spPr>
            <a:ln w="25400" cap="rnd">
              <a:noFill/>
              <a:round/>
            </a:ln>
            <a:effectLst/>
          </c:spPr>
          <c:marker>
            <c:symbol val="none"/>
          </c:marker>
          <c:cat>
            <c:strRef>
              <c:f>'Football Field'!$M$4:$M$8</c:f>
              <c:strCache>
                <c:ptCount val="5"/>
                <c:pt idx="0">
                  <c:v>Comps</c:v>
                </c:pt>
                <c:pt idx="1">
                  <c:v>DCF Bear</c:v>
                </c:pt>
                <c:pt idx="2">
                  <c:v>DCF Base</c:v>
                </c:pt>
                <c:pt idx="3">
                  <c:v>DCF Bull</c:v>
                </c:pt>
                <c:pt idx="4">
                  <c:v>52W H/L</c:v>
                </c:pt>
              </c:strCache>
            </c:strRef>
          </c:cat>
          <c:val>
            <c:numRef>
              <c:f>'Football Field'!$O$4:$O$8</c:f>
              <c:numCache>
                <c:formatCode>0.00</c:formatCode>
                <c:ptCount val="5"/>
                <c:pt idx="0">
                  <c:v>2065.9499884071338</c:v>
                </c:pt>
                <c:pt idx="1">
                  <c:v>741.13878265816936</c:v>
                </c:pt>
                <c:pt idx="2">
                  <c:v>815.25549724303039</c:v>
                </c:pt>
                <c:pt idx="3">
                  <c:v>1132.4401479839419</c:v>
                </c:pt>
                <c:pt idx="4">
                  <c:v>2022.5</c:v>
                </c:pt>
              </c:numCache>
            </c:numRef>
          </c:val>
          <c:smooth val="0"/>
          <c:extLst>
            <c:ext xmlns:c16="http://schemas.microsoft.com/office/drawing/2014/chart" uri="{C3380CC4-5D6E-409C-BE32-E72D297353CC}">
              <c16:uniqueId val="{00000001-E4FD-4C26-9839-80F7939CDB17}"/>
            </c:ext>
          </c:extLst>
        </c:ser>
        <c:ser>
          <c:idx val="2"/>
          <c:order val="2"/>
          <c:spPr>
            <a:ln w="25400" cap="rnd">
              <a:noFill/>
              <a:round/>
            </a:ln>
            <a:effectLst/>
          </c:spPr>
          <c:marker>
            <c:symbol val="none"/>
          </c:marker>
          <c:cat>
            <c:strRef>
              <c:f>'Football Field'!$M$4:$M$8</c:f>
              <c:strCache>
                <c:ptCount val="5"/>
                <c:pt idx="0">
                  <c:v>Comps</c:v>
                </c:pt>
                <c:pt idx="1">
                  <c:v>DCF Bear</c:v>
                </c:pt>
                <c:pt idx="2">
                  <c:v>DCF Base</c:v>
                </c:pt>
                <c:pt idx="3">
                  <c:v>DCF Bull</c:v>
                </c:pt>
                <c:pt idx="4">
                  <c:v>52W H/L</c:v>
                </c:pt>
              </c:strCache>
            </c:strRef>
          </c:cat>
          <c:val>
            <c:numRef>
              <c:f>'Football Field'!$P$4:$P$8</c:f>
              <c:numCache>
                <c:formatCode>0.00</c:formatCode>
                <c:ptCount val="5"/>
                <c:pt idx="0">
                  <c:v>11537.205233535569</c:v>
                </c:pt>
                <c:pt idx="1">
                  <c:v>849.88411253701111</c:v>
                </c:pt>
                <c:pt idx="2">
                  <c:v>952.30925602339482</c:v>
                </c:pt>
                <c:pt idx="3">
                  <c:v>1438.9673706137519</c:v>
                </c:pt>
                <c:pt idx="4">
                  <c:v>2750</c:v>
                </c:pt>
              </c:numCache>
            </c:numRef>
          </c:val>
          <c:smooth val="0"/>
          <c:extLst>
            <c:ext xmlns:c16="http://schemas.microsoft.com/office/drawing/2014/chart" uri="{C3380CC4-5D6E-409C-BE32-E72D297353CC}">
              <c16:uniqueId val="{00000002-E4FD-4C26-9839-80F7939CDB17}"/>
            </c:ext>
          </c:extLst>
        </c:ser>
        <c:ser>
          <c:idx val="3"/>
          <c:order val="3"/>
          <c:spPr>
            <a:ln w="25400" cap="rnd">
              <a:noFill/>
              <a:round/>
            </a:ln>
            <a:effectLst/>
          </c:spPr>
          <c:marker>
            <c:symbol val="none"/>
          </c:marker>
          <c:cat>
            <c:strRef>
              <c:f>'Football Field'!$M$4:$M$8</c:f>
              <c:strCache>
                <c:ptCount val="5"/>
                <c:pt idx="0">
                  <c:v>Comps</c:v>
                </c:pt>
                <c:pt idx="1">
                  <c:v>DCF Bear</c:v>
                </c:pt>
                <c:pt idx="2">
                  <c:v>DCF Base</c:v>
                </c:pt>
                <c:pt idx="3">
                  <c:v>DCF Bull</c:v>
                </c:pt>
                <c:pt idx="4">
                  <c:v>52W H/L</c:v>
                </c:pt>
              </c:strCache>
            </c:strRef>
          </c:cat>
          <c:val>
            <c:numRef>
              <c:f>'Football Field'!$Q$4:$Q$8</c:f>
              <c:numCache>
                <c:formatCode>0.00</c:formatCode>
                <c:ptCount val="5"/>
                <c:pt idx="0">
                  <c:v>11537.205233535569</c:v>
                </c:pt>
                <c:pt idx="1">
                  <c:v>849.88411253701111</c:v>
                </c:pt>
                <c:pt idx="2">
                  <c:v>952.30925602339482</c:v>
                </c:pt>
                <c:pt idx="3">
                  <c:v>1438.9673706137519</c:v>
                </c:pt>
                <c:pt idx="4">
                  <c:v>2750</c:v>
                </c:pt>
              </c:numCache>
            </c:numRef>
          </c:val>
          <c:smooth val="0"/>
          <c:extLst>
            <c:ext xmlns:c16="http://schemas.microsoft.com/office/drawing/2014/chart" uri="{C3380CC4-5D6E-409C-BE32-E72D297353CC}">
              <c16:uniqueId val="{00000003-E4FD-4C26-9839-80F7939CDB1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50248240"/>
        <c:axId val="650242960"/>
      </c:stockChart>
      <c:catAx>
        <c:axId val="65024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42960"/>
        <c:crosses val="autoZero"/>
        <c:auto val="1"/>
        <c:lblAlgn val="ctr"/>
        <c:lblOffset val="100"/>
        <c:noMultiLvlLbl val="0"/>
      </c:catAx>
      <c:valAx>
        <c:axId val="6502429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4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137160</xdr:colOff>
      <xdr:row>1</xdr:row>
      <xdr:rowOff>72390</xdr:rowOff>
    </xdr:from>
    <xdr:to>
      <xdr:col>9</xdr:col>
      <xdr:colOff>525780</xdr:colOff>
      <xdr:row>19</xdr:row>
      <xdr:rowOff>152400</xdr:rowOff>
    </xdr:to>
    <xdr:graphicFrame macro="">
      <xdr:nvGraphicFramePr>
        <xdr:cNvPr id="2" name="Chart 1">
          <a:extLst>
            <a:ext uri="{FF2B5EF4-FFF2-40B4-BE49-F238E27FC236}">
              <a16:creationId xmlns:a16="http://schemas.microsoft.com/office/drawing/2014/main" id="{2189C682-086D-337C-DFD4-3D37A7994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9</xdr:row>
      <xdr:rowOff>129540</xdr:rowOff>
    </xdr:from>
    <xdr:to>
      <xdr:col>9</xdr:col>
      <xdr:colOff>213360</xdr:colOff>
      <xdr:row>9</xdr:row>
      <xdr:rowOff>144780</xdr:rowOff>
    </xdr:to>
    <xdr:cxnSp macro="">
      <xdr:nvCxnSpPr>
        <xdr:cNvPr id="4" name="Straight Connector 3">
          <a:extLst>
            <a:ext uri="{FF2B5EF4-FFF2-40B4-BE49-F238E27FC236}">
              <a16:creationId xmlns:a16="http://schemas.microsoft.com/office/drawing/2014/main" id="{507A3A5C-6CEB-0439-5E60-5D568447C27C}"/>
            </a:ext>
          </a:extLst>
        </xdr:cNvPr>
        <xdr:cNvCxnSpPr/>
      </xdr:nvCxnSpPr>
      <xdr:spPr>
        <a:xfrm flipV="1">
          <a:off x="1074420" y="1775460"/>
          <a:ext cx="4145280" cy="15240"/>
        </a:xfrm>
        <a:prstGeom prst="line">
          <a:avLst/>
        </a:prstGeom>
        <a:ln>
          <a:solidFill>
            <a:schemeClr val="accent3">
              <a:lumMod val="75000"/>
            </a:schemeClr>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venue%20Super%20DCF/Avenue%20Super.xlsx" TargetMode="External"/><Relationship Id="rId2" Type="http://schemas.openxmlformats.org/officeDocument/2006/relationships/externalLinkPath" Target="file:///C:\Jashit\Excel%20project\Avenue%20Super%20DCF\Avenue%20Super.xlsx" TargetMode="External"/><Relationship Id="rId1" Type="http://schemas.openxmlformats.org/officeDocument/2006/relationships/externalLinkPath" Target="/Jashit/Excel%20project/Avenue%20Super%20DCF/Avenue%20Sup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inancials&gt;"/>
      <sheetName val="HistoricalFS"/>
      <sheetName val="Data Sheet FS"/>
      <sheetName val="Common Size Statement"/>
      <sheetName val="Ratio Analysis"/>
      <sheetName val="Forecasting"/>
      <sheetName val="DCF&gt;"/>
      <sheetName val="WACC"/>
      <sheetName val="DCF"/>
      <sheetName val="Beta - Regression"/>
      <sheetName val="RM"/>
      <sheetName val="Comps Val"/>
      <sheetName val="Football Field"/>
      <sheetName val="Intrinsic Growth"/>
      <sheetName val="Data&gt;"/>
      <sheetName val="Raw FS"/>
      <sheetName val="Cash Flow Data"/>
      <sheetName val="Beta - Comps"/>
      <sheetName val="Data Sheet Beta"/>
      <sheetName val="Data Relative Valuation"/>
    </sheetNames>
    <sheetDataSet>
      <sheetData sheetId="0" refreshError="1"/>
      <sheetData sheetId="1">
        <row r="64">
          <cell r="L64">
            <v>303.77999999999997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7">
          <cell r="L7">
            <v>0</v>
          </cell>
        </row>
        <row r="8">
          <cell r="L8">
            <v>965</v>
          </cell>
        </row>
        <row r="9">
          <cell r="L9">
            <v>1460</v>
          </cell>
        </row>
      </sheetData>
      <sheetData sheetId="16" refreshError="1"/>
      <sheetData sheetId="17" refreshError="1"/>
      <sheetData sheetId="18" refreshError="1"/>
      <sheetData sheetId="19"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DD89-4BF9-4EC9-86CF-CD7D58C82293}">
  <sheetPr>
    <tabColor rgb="FF002060"/>
  </sheetPr>
  <dimension ref="A1"/>
  <sheetViews>
    <sheetView workbookViewId="0">
      <selection activeCell="A30" sqref="A30"/>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88F6-0255-40C4-8A4A-910877930444}">
  <dimension ref="A2:L109"/>
  <sheetViews>
    <sheetView showGridLines="0" zoomScaleNormal="100" workbookViewId="0">
      <pane ySplit="3" topLeftCell="A7" activePane="bottomLeft" state="frozen"/>
      <selection pane="bottomLeft" activeCell="M38" sqref="M38"/>
    </sheetView>
  </sheetViews>
  <sheetFormatPr defaultRowHeight="14.4" outlineLevelRow="1" x14ac:dyDescent="0.3"/>
  <cols>
    <col min="1" max="1" width="1.88671875" customWidth="1"/>
    <col min="2" max="2" width="30.6640625" customWidth="1"/>
    <col min="3" max="3" width="12" customWidth="1"/>
    <col min="4" max="4" width="11.5546875" customWidth="1"/>
    <col min="5" max="5" width="11.21875" customWidth="1"/>
    <col min="6" max="6" width="10.6640625" bestFit="1" customWidth="1"/>
    <col min="7" max="8" width="12.6640625" customWidth="1"/>
    <col min="9" max="11" width="10.6640625" bestFit="1" customWidth="1"/>
  </cols>
  <sheetData>
    <row r="2" spans="1:11" x14ac:dyDescent="0.3">
      <c r="B2" s="197" t="str">
        <f>"Historical Financial Statement - "&amp;'Data Sheet'!B1</f>
        <v>Historical Financial Statement - HINDUSTAN UNILEVER LTD</v>
      </c>
      <c r="C2" s="197"/>
      <c r="D2" s="197"/>
      <c r="E2" s="197"/>
      <c r="F2" s="197"/>
      <c r="G2" s="197"/>
      <c r="H2" s="197"/>
      <c r="I2" s="197"/>
      <c r="J2" s="197"/>
      <c r="K2" s="197"/>
    </row>
    <row r="3" spans="1:11" x14ac:dyDescent="0.3">
      <c r="B3" s="40" t="s">
        <v>55</v>
      </c>
      <c r="C3" s="101">
        <f>'Data Sheet'!B16</f>
        <v>42825</v>
      </c>
      <c r="D3" s="101">
        <f>'Data Sheet'!C16</f>
        <v>43190</v>
      </c>
      <c r="E3" s="101">
        <f>'Data Sheet'!D16</f>
        <v>43555</v>
      </c>
      <c r="F3" s="101">
        <f>'Data Sheet'!E16</f>
        <v>43921</v>
      </c>
      <c r="G3" s="101">
        <f>'Data Sheet'!F16</f>
        <v>44286</v>
      </c>
      <c r="H3" s="101">
        <f>'Data Sheet'!G16</f>
        <v>44651</v>
      </c>
      <c r="I3" s="101">
        <f>'Data Sheet'!H16</f>
        <v>45016</v>
      </c>
      <c r="J3" s="101">
        <f>'Data Sheet'!I16</f>
        <v>45382</v>
      </c>
      <c r="K3" s="101">
        <f>'Data Sheet'!J16</f>
        <v>45747</v>
      </c>
    </row>
    <row r="4" spans="1:11" s="13" customFormat="1" x14ac:dyDescent="0.3">
      <c r="B4" s="14"/>
      <c r="C4" s="15"/>
      <c r="D4" s="15"/>
      <c r="E4" s="15"/>
      <c r="F4" s="15"/>
      <c r="G4" s="15"/>
      <c r="H4" s="15"/>
      <c r="I4" s="15"/>
      <c r="J4" s="15"/>
      <c r="K4" s="15"/>
    </row>
    <row r="5" spans="1:11" x14ac:dyDescent="0.3">
      <c r="A5" s="2" t="s">
        <v>57</v>
      </c>
      <c r="B5" s="16" t="s">
        <v>58</v>
      </c>
      <c r="C5" s="17"/>
      <c r="D5" s="17"/>
      <c r="E5" s="17"/>
      <c r="F5" s="17"/>
      <c r="G5" s="17"/>
      <c r="H5" s="17"/>
      <c r="I5" s="17"/>
      <c r="J5" s="17"/>
      <c r="K5" s="17"/>
    </row>
    <row r="6" spans="1:11" outlineLevel="1" x14ac:dyDescent="0.3">
      <c r="B6" t="s">
        <v>1</v>
      </c>
      <c r="C6" s="9">
        <f>IFERROR('Data Sheet'!B17,0)</f>
        <v>33162</v>
      </c>
      <c r="D6" s="9">
        <f>IFERROR('Data Sheet'!C17,0)</f>
        <v>35545</v>
      </c>
      <c r="E6" s="9">
        <f>IFERROR('Data Sheet'!D17,0)</f>
        <v>39310</v>
      </c>
      <c r="F6" s="9">
        <f>IFERROR('Data Sheet'!E17,0)</f>
        <v>39783</v>
      </c>
      <c r="G6" s="9">
        <f>IFERROR('Data Sheet'!F17,0)</f>
        <v>47028</v>
      </c>
      <c r="H6" s="9">
        <f>IFERROR('Data Sheet'!G17,0)</f>
        <v>52446</v>
      </c>
      <c r="I6" s="9">
        <f>IFERROR('Data Sheet'!H17,0)</f>
        <v>60580</v>
      </c>
      <c r="J6" s="9">
        <f>IFERROR('Data Sheet'!I17,0)</f>
        <v>61896</v>
      </c>
      <c r="K6" s="9">
        <f>IFERROR('Data Sheet'!J17,0)</f>
        <v>63121</v>
      </c>
    </row>
    <row r="7" spans="1:11" outlineLevel="1" x14ac:dyDescent="0.3">
      <c r="B7" s="11" t="s">
        <v>10</v>
      </c>
      <c r="C7" s="12" t="s">
        <v>59</v>
      </c>
      <c r="D7" s="12">
        <f>D6/C6-1</f>
        <v>7.1859357095470644E-2</v>
      </c>
      <c r="E7" s="12">
        <f t="shared" ref="E7:K7" si="0">E6/D6-1</f>
        <v>0.1059220706147137</v>
      </c>
      <c r="F7" s="12">
        <f t="shared" si="0"/>
        <v>1.2032561689137689E-2</v>
      </c>
      <c r="G7" s="12">
        <f t="shared" si="0"/>
        <v>0.18211296282331646</v>
      </c>
      <c r="H7" s="12">
        <f t="shared" si="0"/>
        <v>0.11520796121459553</v>
      </c>
      <c r="I7" s="12">
        <f t="shared" si="0"/>
        <v>0.15509285741524614</v>
      </c>
      <c r="J7" s="12">
        <f t="shared" si="0"/>
        <v>2.1723341036645749E-2</v>
      </c>
      <c r="K7" s="12">
        <f t="shared" si="0"/>
        <v>1.9791262763344974E-2</v>
      </c>
    </row>
    <row r="8" spans="1:11" outlineLevel="1" x14ac:dyDescent="0.3"/>
    <row r="9" spans="1:11" outlineLevel="1" x14ac:dyDescent="0.3">
      <c r="B9" t="s">
        <v>60</v>
      </c>
      <c r="C9" s="9">
        <f>IFERROR(SUM('Data Sheet'!B18,'Data Sheet'!B20:B22)-1*'Data Sheet'!B19,"-")</f>
        <v>18675</v>
      </c>
      <c r="D9" s="9">
        <f>IFERROR(SUM('Data Sheet'!C18,'Data Sheet'!C20:C22)-1*'Data Sheet'!C19,"-")</f>
        <v>19314</v>
      </c>
      <c r="E9" s="9">
        <f>IFERROR(SUM('Data Sheet'!D18,'Data Sheet'!D20:D22)-1*'Data Sheet'!D19,"-")</f>
        <v>21081</v>
      </c>
      <c r="F9" s="9">
        <f>IFERROR(SUM('Data Sheet'!E18,'Data Sheet'!E20:E22)-1*'Data Sheet'!E19,"-")</f>
        <v>20614</v>
      </c>
      <c r="G9" s="9">
        <f>IFERROR(SUM('Data Sheet'!F18,'Data Sheet'!F20:F22)-1*'Data Sheet'!F19,"-")</f>
        <v>25301</v>
      </c>
      <c r="H9" s="9">
        <f>IFERROR(SUM('Data Sheet'!G18,'Data Sheet'!G20:G22)-1*'Data Sheet'!G19,"-")</f>
        <v>29066</v>
      </c>
      <c r="I9" s="9">
        <f>IFERROR(SUM('Data Sheet'!H18,'Data Sheet'!H20:H22)-1*'Data Sheet'!H19,"-")</f>
        <v>35381</v>
      </c>
      <c r="J9" s="9">
        <f>IFERROR(SUM('Data Sheet'!I18,'Data Sheet'!I20:I22)-1*'Data Sheet'!I19,"-")</f>
        <v>33651</v>
      </c>
      <c r="K9" s="9">
        <f>IFERROR(SUM('Data Sheet'!J18,'Data Sheet'!J20:J22)-1*'Data Sheet'!J19,"-")</f>
        <v>34529</v>
      </c>
    </row>
    <row r="10" spans="1:11" outlineLevel="1" x14ac:dyDescent="0.3">
      <c r="B10" s="11" t="s">
        <v>61</v>
      </c>
      <c r="C10" s="12">
        <f>C9/C6</f>
        <v>0.5631445630540981</v>
      </c>
      <c r="D10" s="12">
        <f t="shared" ref="D10:K10" si="1">D9/D6</f>
        <v>0.54336756224504146</v>
      </c>
      <c r="E10" s="12">
        <f t="shared" si="1"/>
        <v>0.53627575680488426</v>
      </c>
      <c r="F10" s="12">
        <f t="shared" si="1"/>
        <v>0.51816102355277383</v>
      </c>
      <c r="G10" s="12">
        <f t="shared" si="1"/>
        <v>0.53799863910861612</v>
      </c>
      <c r="H10" s="12">
        <f t="shared" si="1"/>
        <v>0.55420813789421497</v>
      </c>
      <c r="I10" s="12">
        <f t="shared" si="1"/>
        <v>0.58403763618355897</v>
      </c>
      <c r="J10" s="12">
        <f t="shared" si="1"/>
        <v>0.54367002714230317</v>
      </c>
      <c r="K10" s="12">
        <f t="shared" si="1"/>
        <v>0.54702872261212587</v>
      </c>
    </row>
    <row r="11" spans="1:11" outlineLevel="1" x14ac:dyDescent="0.3"/>
    <row r="12" spans="1:11" outlineLevel="1" x14ac:dyDescent="0.3">
      <c r="B12" s="25" t="s">
        <v>62</v>
      </c>
      <c r="C12" s="26">
        <f>C6-C9</f>
        <v>14487</v>
      </c>
      <c r="D12" s="26">
        <f t="shared" ref="D12:K12" si="2">D6-D9</f>
        <v>16231</v>
      </c>
      <c r="E12" s="26">
        <f t="shared" si="2"/>
        <v>18229</v>
      </c>
      <c r="F12" s="26">
        <f t="shared" si="2"/>
        <v>19169</v>
      </c>
      <c r="G12" s="26">
        <f t="shared" si="2"/>
        <v>21727</v>
      </c>
      <c r="H12" s="26">
        <f t="shared" si="2"/>
        <v>23380</v>
      </c>
      <c r="I12" s="26">
        <f t="shared" si="2"/>
        <v>25199</v>
      </c>
      <c r="J12" s="26">
        <f t="shared" si="2"/>
        <v>28245</v>
      </c>
      <c r="K12" s="26">
        <f t="shared" si="2"/>
        <v>28592</v>
      </c>
    </row>
    <row r="13" spans="1:11" outlineLevel="1" x14ac:dyDescent="0.3">
      <c r="B13" s="11" t="s">
        <v>63</v>
      </c>
      <c r="C13" s="12">
        <f>C12/C6</f>
        <v>0.43685543694590195</v>
      </c>
      <c r="D13" s="12">
        <f t="shared" ref="D13:K13" si="3">D12/D6</f>
        <v>0.45663243775495849</v>
      </c>
      <c r="E13" s="12">
        <f t="shared" si="3"/>
        <v>0.46372424319511574</v>
      </c>
      <c r="F13" s="12">
        <f t="shared" si="3"/>
        <v>0.48183897644722617</v>
      </c>
      <c r="G13" s="12">
        <f t="shared" si="3"/>
        <v>0.46200136089138388</v>
      </c>
      <c r="H13" s="12">
        <f t="shared" si="3"/>
        <v>0.44579186210578498</v>
      </c>
      <c r="I13" s="12">
        <f t="shared" si="3"/>
        <v>0.41596236381644108</v>
      </c>
      <c r="J13" s="12">
        <f t="shared" si="3"/>
        <v>0.45632997285769678</v>
      </c>
      <c r="K13" s="12">
        <f t="shared" si="3"/>
        <v>0.45297127738787407</v>
      </c>
    </row>
    <row r="14" spans="1:11" outlineLevel="1" x14ac:dyDescent="0.3"/>
    <row r="15" spans="1:11" outlineLevel="1" x14ac:dyDescent="0.3">
      <c r="B15" t="s">
        <v>64</v>
      </c>
      <c r="C15" s="9">
        <f>IFERROR(SUM('Data Sheet'!B23:B24),0)</f>
        <v>8159</v>
      </c>
      <c r="D15" s="9">
        <f>IFERROR(SUM('Data Sheet'!C23:C24),0)</f>
        <v>8732</v>
      </c>
      <c r="E15" s="9">
        <f>IFERROR(SUM('Data Sheet'!D23:D24),0)</f>
        <v>9349</v>
      </c>
      <c r="F15" s="9">
        <f>IFERROR(SUM('Data Sheet'!E23:E24),0)</f>
        <v>9308</v>
      </c>
      <c r="G15" s="9">
        <f>IFERROR(SUM('Data Sheet'!F23:F24),0)</f>
        <v>10101</v>
      </c>
      <c r="H15" s="9">
        <f>IFERROR(SUM('Data Sheet'!G23:G24),0)</f>
        <v>10523</v>
      </c>
      <c r="I15" s="9">
        <f>IFERROR(SUM('Data Sheet'!H23:H24),0)</f>
        <v>11052</v>
      </c>
      <c r="J15" s="9">
        <f>IFERROR(SUM('Data Sheet'!I23:I24),0)</f>
        <v>13586</v>
      </c>
      <c r="K15" s="9">
        <f>IFERROR(SUM('Data Sheet'!J23:J24),0)</f>
        <v>13749</v>
      </c>
    </row>
    <row r="16" spans="1:11" outlineLevel="1" x14ac:dyDescent="0.3">
      <c r="B16" s="11" t="s">
        <v>65</v>
      </c>
      <c r="C16" s="12">
        <f>C15/C9</f>
        <v>0.43689424364123158</v>
      </c>
      <c r="D16" s="12">
        <f t="shared" ref="D16:K16" si="4">D15/D9</f>
        <v>0.45210727969348657</v>
      </c>
      <c r="E16" s="12">
        <f t="shared" si="4"/>
        <v>0.4434799108201698</v>
      </c>
      <c r="F16" s="12">
        <f t="shared" si="4"/>
        <v>0.45153778985155718</v>
      </c>
      <c r="G16" s="12">
        <f t="shared" si="4"/>
        <v>0.39923323188806764</v>
      </c>
      <c r="H16" s="12">
        <f t="shared" si="4"/>
        <v>0.36203812014037018</v>
      </c>
      <c r="I16" s="12">
        <f t="shared" si="4"/>
        <v>0.31237104660693593</v>
      </c>
      <c r="J16" s="12">
        <f t="shared" si="4"/>
        <v>0.40373242994264658</v>
      </c>
      <c r="K16" s="12">
        <f t="shared" si="4"/>
        <v>0.39818703119117266</v>
      </c>
    </row>
    <row r="17" spans="2:12" outlineLevel="1" x14ac:dyDescent="0.3"/>
    <row r="18" spans="2:12" outlineLevel="1" x14ac:dyDescent="0.3">
      <c r="B18" s="25" t="s">
        <v>66</v>
      </c>
      <c r="C18" s="26">
        <f>C12-C15</f>
        <v>6328</v>
      </c>
      <c r="D18" s="26">
        <f t="shared" ref="D18:K18" si="5">D12-D15</f>
        <v>7499</v>
      </c>
      <c r="E18" s="26">
        <f t="shared" si="5"/>
        <v>8880</v>
      </c>
      <c r="F18" s="26">
        <f t="shared" si="5"/>
        <v>9861</v>
      </c>
      <c r="G18" s="26">
        <f t="shared" si="5"/>
        <v>11626</v>
      </c>
      <c r="H18" s="26">
        <f t="shared" si="5"/>
        <v>12857</v>
      </c>
      <c r="I18" s="26">
        <f t="shared" si="5"/>
        <v>14147</v>
      </c>
      <c r="J18" s="26">
        <f t="shared" si="5"/>
        <v>14659</v>
      </c>
      <c r="K18" s="26">
        <f t="shared" si="5"/>
        <v>14843</v>
      </c>
    </row>
    <row r="19" spans="2:12" outlineLevel="1" x14ac:dyDescent="0.3">
      <c r="B19" s="11" t="s">
        <v>67</v>
      </c>
      <c r="C19" s="12">
        <f>C18/C6</f>
        <v>0.1908208190097099</v>
      </c>
      <c r="D19" s="12">
        <f t="shared" ref="D19:K19" si="6">D18/D6</f>
        <v>0.21097200731467156</v>
      </c>
      <c r="E19" s="12">
        <f t="shared" si="6"/>
        <v>0.2258967183922666</v>
      </c>
      <c r="F19" s="12">
        <f t="shared" si="6"/>
        <v>0.24786969308498605</v>
      </c>
      <c r="G19" s="12">
        <f t="shared" si="6"/>
        <v>0.24721442544866887</v>
      </c>
      <c r="H19" s="12">
        <f t="shared" si="6"/>
        <v>0.24514738969606834</v>
      </c>
      <c r="I19" s="12">
        <f t="shared" si="6"/>
        <v>0.23352591614394189</v>
      </c>
      <c r="J19" s="12">
        <f t="shared" si="6"/>
        <v>0.23683275171255008</v>
      </c>
      <c r="K19" s="12">
        <f t="shared" si="6"/>
        <v>0.23515153435465216</v>
      </c>
    </row>
    <row r="20" spans="2:12" outlineLevel="1" x14ac:dyDescent="0.3">
      <c r="B20" s="11"/>
      <c r="C20" s="12"/>
      <c r="D20" s="12"/>
      <c r="E20" s="12"/>
      <c r="F20" s="12"/>
      <c r="G20" s="12"/>
      <c r="H20" s="12"/>
      <c r="I20" s="12"/>
      <c r="J20" s="12"/>
      <c r="K20" s="12"/>
    </row>
    <row r="21" spans="2:12" outlineLevel="1" x14ac:dyDescent="0.3">
      <c r="B21" t="s">
        <v>5</v>
      </c>
      <c r="C21" s="9">
        <f>IFERROR('Data Sheet'!B26,0)</f>
        <v>432</v>
      </c>
      <c r="D21" s="9">
        <f>IFERROR('Data Sheet'!C26,0)</f>
        <v>520</v>
      </c>
      <c r="E21" s="9">
        <f>IFERROR('Data Sheet'!D26,0)</f>
        <v>565</v>
      </c>
      <c r="F21" s="9">
        <f>IFERROR('Data Sheet'!E26,0)</f>
        <v>1002</v>
      </c>
      <c r="G21" s="9">
        <f>IFERROR('Data Sheet'!F26,0)</f>
        <v>1074</v>
      </c>
      <c r="H21" s="9">
        <f>IFERROR('Data Sheet'!G26,0)</f>
        <v>1091</v>
      </c>
      <c r="I21" s="9">
        <f>IFERROR('Data Sheet'!H26,0)</f>
        <v>1137</v>
      </c>
      <c r="J21" s="9">
        <f>IFERROR('Data Sheet'!I26,0)</f>
        <v>1216</v>
      </c>
      <c r="K21" s="9">
        <f>IFERROR('Data Sheet'!J26,0)</f>
        <v>1355</v>
      </c>
    </row>
    <row r="22" spans="2:12" outlineLevel="1" x14ac:dyDescent="0.3">
      <c r="B22" s="11" t="s">
        <v>68</v>
      </c>
      <c r="C22" s="12">
        <f>C21/C6</f>
        <v>1.3026958567034558E-2</v>
      </c>
      <c r="D22" s="12">
        <f t="shared" ref="D22:K22" si="7">D21/D6</f>
        <v>1.4629343086228723E-2</v>
      </c>
      <c r="E22" s="12">
        <f t="shared" si="7"/>
        <v>1.437293309590435E-2</v>
      </c>
      <c r="F22" s="12">
        <f t="shared" si="7"/>
        <v>2.5186637508483524E-2</v>
      </c>
      <c r="G22" s="12">
        <f t="shared" si="7"/>
        <v>2.2837458535340648E-2</v>
      </c>
      <c r="H22" s="12">
        <f t="shared" si="7"/>
        <v>2.0802349082866187E-2</v>
      </c>
      <c r="I22" s="12">
        <f t="shared" si="7"/>
        <v>1.8768570485308684E-2</v>
      </c>
      <c r="J22" s="12">
        <f t="shared" si="7"/>
        <v>1.9645857567532635E-2</v>
      </c>
      <c r="K22" s="12">
        <f t="shared" si="7"/>
        <v>2.1466706801223048E-2</v>
      </c>
    </row>
    <row r="23" spans="2:12" outlineLevel="1" x14ac:dyDescent="0.3">
      <c r="B23" s="11"/>
      <c r="C23" s="12"/>
      <c r="D23" s="12"/>
      <c r="E23" s="12"/>
      <c r="F23" s="12"/>
      <c r="G23" s="12"/>
      <c r="H23" s="12"/>
      <c r="I23" s="12"/>
      <c r="J23" s="12"/>
      <c r="K23" s="12"/>
    </row>
    <row r="24" spans="2:12" outlineLevel="1" x14ac:dyDescent="0.3">
      <c r="B24" s="25" t="s">
        <v>165</v>
      </c>
      <c r="C24" s="26">
        <f>C18-C21</f>
        <v>5896</v>
      </c>
      <c r="D24" s="26">
        <f t="shared" ref="D24:K24" si="8">D18-D21</f>
        <v>6979</v>
      </c>
      <c r="E24" s="26">
        <f t="shared" si="8"/>
        <v>8315</v>
      </c>
      <c r="F24" s="26">
        <f t="shared" si="8"/>
        <v>8859</v>
      </c>
      <c r="G24" s="26">
        <f t="shared" si="8"/>
        <v>10552</v>
      </c>
      <c r="H24" s="26">
        <f t="shared" si="8"/>
        <v>11766</v>
      </c>
      <c r="I24" s="26">
        <f t="shared" si="8"/>
        <v>13010</v>
      </c>
      <c r="J24" s="26">
        <f t="shared" si="8"/>
        <v>13443</v>
      </c>
      <c r="K24" s="26">
        <f t="shared" si="8"/>
        <v>13488</v>
      </c>
    </row>
    <row r="25" spans="2:12" outlineLevel="1" x14ac:dyDescent="0.3">
      <c r="B25" s="11" t="s">
        <v>67</v>
      </c>
      <c r="C25" s="12">
        <f>C24/C6</f>
        <v>0.17779386044267534</v>
      </c>
      <c r="D25" s="12">
        <f t="shared" ref="D25:K25" si="9">D24/D6</f>
        <v>0.19634266422844282</v>
      </c>
      <c r="E25" s="12">
        <f t="shared" si="9"/>
        <v>0.21152378529636226</v>
      </c>
      <c r="F25" s="12">
        <f t="shared" si="9"/>
        <v>0.22268305557650253</v>
      </c>
      <c r="G25" s="12">
        <f t="shared" si="9"/>
        <v>0.22437696691332823</v>
      </c>
      <c r="H25" s="12">
        <f t="shared" si="9"/>
        <v>0.22434504061320215</v>
      </c>
      <c r="I25" s="12">
        <f t="shared" si="9"/>
        <v>0.21475734565863322</v>
      </c>
      <c r="J25" s="12">
        <f t="shared" si="9"/>
        <v>0.21718689414501746</v>
      </c>
      <c r="K25" s="12">
        <f t="shared" si="9"/>
        <v>0.21368482755342913</v>
      </c>
    </row>
    <row r="26" spans="2:12" outlineLevel="1" x14ac:dyDescent="0.3">
      <c r="B26" s="11"/>
      <c r="C26" s="12"/>
      <c r="D26" s="12"/>
      <c r="E26" s="12"/>
      <c r="F26" s="12"/>
      <c r="G26" s="12"/>
      <c r="H26" s="12"/>
      <c r="I26" s="12"/>
      <c r="J26" s="12"/>
      <c r="K26" s="12"/>
    </row>
    <row r="27" spans="2:12" outlineLevel="1" x14ac:dyDescent="0.3">
      <c r="B27" t="s">
        <v>6</v>
      </c>
      <c r="C27" s="9">
        <f>IFERROR('Data Sheet'!B27,0)</f>
        <v>35</v>
      </c>
      <c r="D27" s="9">
        <f>IFERROR('Data Sheet'!C27,0)</f>
        <v>26</v>
      </c>
      <c r="E27" s="9">
        <f>IFERROR('Data Sheet'!D27,0)</f>
        <v>33</v>
      </c>
      <c r="F27" s="9">
        <f>IFERROR('Data Sheet'!E27,0)</f>
        <v>118</v>
      </c>
      <c r="G27" s="9">
        <f>IFERROR('Data Sheet'!F27,0)</f>
        <v>117</v>
      </c>
      <c r="H27" s="9">
        <f>IFERROR('Data Sheet'!G27,0)</f>
        <v>106</v>
      </c>
      <c r="I27" s="9">
        <f>IFERROR('Data Sheet'!H27,0)</f>
        <v>114</v>
      </c>
      <c r="J27" s="9">
        <f>IFERROR('Data Sheet'!I27,0)</f>
        <v>334</v>
      </c>
      <c r="K27" s="9">
        <f>IFERROR('Data Sheet'!J27,0)</f>
        <v>395</v>
      </c>
      <c r="L27" s="9"/>
    </row>
    <row r="28" spans="2:12" outlineLevel="1" x14ac:dyDescent="0.3">
      <c r="B28" s="11" t="s">
        <v>69</v>
      </c>
      <c r="C28" s="12">
        <f>C27/C6</f>
        <v>1.0554248839032628E-3</v>
      </c>
      <c r="D28" s="12">
        <f t="shared" ref="D28:K28" si="10">D27/D6</f>
        <v>7.3146715431143621E-4</v>
      </c>
      <c r="E28" s="12">
        <f t="shared" si="10"/>
        <v>8.3948104807936915E-4</v>
      </c>
      <c r="F28" s="12">
        <f t="shared" si="10"/>
        <v>2.9660910439132291E-3</v>
      </c>
      <c r="G28" s="12">
        <f t="shared" si="10"/>
        <v>2.4878795611125285E-3</v>
      </c>
      <c r="H28" s="12">
        <f t="shared" si="10"/>
        <v>2.0211264920108303E-3</v>
      </c>
      <c r="I28" s="12">
        <f t="shared" si="10"/>
        <v>1.881809177946517E-3</v>
      </c>
      <c r="J28" s="12">
        <f t="shared" si="10"/>
        <v>5.3961483779242604E-3</v>
      </c>
      <c r="K28" s="12">
        <f t="shared" si="10"/>
        <v>6.2578222778473091E-3</v>
      </c>
    </row>
    <row r="29" spans="2:12" outlineLevel="1" x14ac:dyDescent="0.3"/>
    <row r="30" spans="2:12" outlineLevel="1" x14ac:dyDescent="0.3">
      <c r="B30" s="25" t="s">
        <v>70</v>
      </c>
      <c r="C30" s="26">
        <f>C24-C27</f>
        <v>5861</v>
      </c>
      <c r="D30" s="26">
        <f t="shared" ref="D30:K30" si="11">D24-D27</f>
        <v>6953</v>
      </c>
      <c r="E30" s="26">
        <f t="shared" si="11"/>
        <v>8282</v>
      </c>
      <c r="F30" s="26">
        <f t="shared" si="11"/>
        <v>8741</v>
      </c>
      <c r="G30" s="26">
        <f t="shared" si="11"/>
        <v>10435</v>
      </c>
      <c r="H30" s="26">
        <f t="shared" si="11"/>
        <v>11660</v>
      </c>
      <c r="I30" s="26">
        <f t="shared" si="11"/>
        <v>12896</v>
      </c>
      <c r="J30" s="26">
        <f t="shared" si="11"/>
        <v>13109</v>
      </c>
      <c r="K30" s="26">
        <f t="shared" si="11"/>
        <v>13093</v>
      </c>
    </row>
    <row r="31" spans="2:12" outlineLevel="1" x14ac:dyDescent="0.3">
      <c r="B31" s="11" t="s">
        <v>71</v>
      </c>
      <c r="C31" s="12">
        <f>C30/C6</f>
        <v>0.17673843555877208</v>
      </c>
      <c r="D31" s="12">
        <f t="shared" ref="D31:K31" si="12">D30/D6</f>
        <v>0.19561119707413138</v>
      </c>
      <c r="E31" s="12">
        <f t="shared" si="12"/>
        <v>0.21068430424828288</v>
      </c>
      <c r="F31" s="12">
        <f t="shared" si="12"/>
        <v>0.21971696453258929</v>
      </c>
      <c r="G31" s="12">
        <f t="shared" si="12"/>
        <v>0.22188908735221571</v>
      </c>
      <c r="H31" s="12">
        <f t="shared" si="12"/>
        <v>0.22232391412119132</v>
      </c>
      <c r="I31" s="12">
        <f t="shared" si="12"/>
        <v>0.21287553648068669</v>
      </c>
      <c r="J31" s="12">
        <f t="shared" si="12"/>
        <v>0.2117907457670932</v>
      </c>
      <c r="K31" s="12">
        <f t="shared" si="12"/>
        <v>0.20742700527558183</v>
      </c>
    </row>
    <row r="32" spans="2:12" outlineLevel="1" x14ac:dyDescent="0.3"/>
    <row r="33" spans="1:11" outlineLevel="1" x14ac:dyDescent="0.3">
      <c r="B33" t="s">
        <v>8</v>
      </c>
      <c r="C33" s="9">
        <f>IFERROR('Data Sheet'!B29,0)</f>
        <v>1977</v>
      </c>
      <c r="D33" s="9">
        <f>IFERROR('Data Sheet'!C29,0)</f>
        <v>2079</v>
      </c>
      <c r="E33" s="9">
        <f>IFERROR('Data Sheet'!D29,0)</f>
        <v>2544</v>
      </c>
      <c r="F33" s="9">
        <f>IFERROR('Data Sheet'!E29,0)</f>
        <v>2409</v>
      </c>
      <c r="G33" s="9">
        <f>IFERROR('Data Sheet'!F29,0)</f>
        <v>2606</v>
      </c>
      <c r="H33" s="9">
        <f>IFERROR('Data Sheet'!G29,0)</f>
        <v>2987</v>
      </c>
      <c r="I33" s="9">
        <f>IFERROR('Data Sheet'!H29,0)</f>
        <v>3201</v>
      </c>
      <c r="J33" s="9">
        <f>IFERROR('Data Sheet'!I29,0)</f>
        <v>3644</v>
      </c>
      <c r="K33" s="9">
        <f>IFERROR('Data Sheet'!J29,0)</f>
        <v>3744</v>
      </c>
    </row>
    <row r="34" spans="1:11" outlineLevel="1" x14ac:dyDescent="0.3">
      <c r="B34" s="11" t="s">
        <v>72</v>
      </c>
      <c r="C34" s="12">
        <f>C33/C30</f>
        <v>0.33731445145879541</v>
      </c>
      <c r="D34" s="12">
        <f t="shared" ref="D34:K34" si="13">D33/D30</f>
        <v>0.29900762260894576</v>
      </c>
      <c r="E34" s="12">
        <f t="shared" si="13"/>
        <v>0.30717218063269741</v>
      </c>
      <c r="F34" s="12">
        <f t="shared" si="13"/>
        <v>0.27559775769362771</v>
      </c>
      <c r="G34" s="12">
        <f t="shared" si="13"/>
        <v>0.24973646382367035</v>
      </c>
      <c r="H34" s="12">
        <f t="shared" si="13"/>
        <v>0.25617495711835336</v>
      </c>
      <c r="I34" s="12">
        <f t="shared" si="13"/>
        <v>0.24821650124069478</v>
      </c>
      <c r="J34" s="12">
        <f t="shared" si="13"/>
        <v>0.27797696239224962</v>
      </c>
      <c r="K34" s="12">
        <f t="shared" si="13"/>
        <v>0.28595432673947913</v>
      </c>
    </row>
    <row r="35" spans="1:11" outlineLevel="1" x14ac:dyDescent="0.3"/>
    <row r="36" spans="1:11" outlineLevel="1" x14ac:dyDescent="0.3">
      <c r="B36" s="25" t="s">
        <v>73</v>
      </c>
      <c r="C36" s="26">
        <f>C30-C33</f>
        <v>3884</v>
      </c>
      <c r="D36" s="26">
        <f t="shared" ref="D36:K36" si="14">D30-D33</f>
        <v>4874</v>
      </c>
      <c r="E36" s="26">
        <f t="shared" si="14"/>
        <v>5738</v>
      </c>
      <c r="F36" s="26">
        <f t="shared" si="14"/>
        <v>6332</v>
      </c>
      <c r="G36" s="26">
        <f t="shared" si="14"/>
        <v>7829</v>
      </c>
      <c r="H36" s="26">
        <f t="shared" si="14"/>
        <v>8673</v>
      </c>
      <c r="I36" s="26">
        <f t="shared" si="14"/>
        <v>9695</v>
      </c>
      <c r="J36" s="26">
        <f t="shared" si="14"/>
        <v>9465</v>
      </c>
      <c r="K36" s="26">
        <f t="shared" si="14"/>
        <v>9349</v>
      </c>
    </row>
    <row r="37" spans="1:11" outlineLevel="1" x14ac:dyDescent="0.3">
      <c r="B37" s="11" t="s">
        <v>74</v>
      </c>
      <c r="C37" s="12">
        <f>C36/C6</f>
        <v>0.11712200711657922</v>
      </c>
      <c r="D37" s="12">
        <f t="shared" ref="D37:K37" si="15">D36/D6</f>
        <v>0.1371219580813054</v>
      </c>
      <c r="E37" s="12">
        <f t="shared" si="15"/>
        <v>0.14596794708725516</v>
      </c>
      <c r="F37" s="12">
        <f t="shared" si="15"/>
        <v>0.15916346178015736</v>
      </c>
      <c r="G37" s="12">
        <f t="shared" si="15"/>
        <v>0.16647529131581185</v>
      </c>
      <c r="H37" s="12">
        <f t="shared" si="15"/>
        <v>0.16537009495481067</v>
      </c>
      <c r="I37" s="12">
        <f t="shared" si="15"/>
        <v>0.16003631561571477</v>
      </c>
      <c r="J37" s="12">
        <f t="shared" si="15"/>
        <v>0.15291779759596744</v>
      </c>
      <c r="K37" s="12">
        <f t="shared" si="15"/>
        <v>0.14811235563441644</v>
      </c>
    </row>
    <row r="38" spans="1:11" outlineLevel="1" x14ac:dyDescent="0.3"/>
    <row r="39" spans="1:11" outlineLevel="1" x14ac:dyDescent="0.3">
      <c r="B39" t="s">
        <v>75</v>
      </c>
      <c r="C39">
        <f>IFERROR('Data Sheet'!B93,0)</f>
        <v>216.43</v>
      </c>
      <c r="D39">
        <f>IFERROR('Data Sheet'!C93,0)</f>
        <v>216.45</v>
      </c>
      <c r="E39">
        <f>IFERROR('Data Sheet'!D93,0)</f>
        <v>216.47</v>
      </c>
      <c r="F39">
        <f>IFERROR('Data Sheet'!E93,0)</f>
        <v>216.48</v>
      </c>
      <c r="G39">
        <f>IFERROR('Data Sheet'!F93,0)</f>
        <v>234.96</v>
      </c>
      <c r="H39">
        <f>IFERROR('Data Sheet'!G93,0)</f>
        <v>234.96</v>
      </c>
      <c r="I39">
        <f>IFERROR('Data Sheet'!H93,0)</f>
        <v>234.96</v>
      </c>
      <c r="J39">
        <f>IFERROR('Data Sheet'!I93,0)</f>
        <v>234.96</v>
      </c>
      <c r="K39">
        <f>IFERROR('Data Sheet'!J93,0)</f>
        <v>234.96</v>
      </c>
    </row>
    <row r="40" spans="1:11" outlineLevel="1" x14ac:dyDescent="0.3"/>
    <row r="41" spans="1:11" outlineLevel="1" x14ac:dyDescent="0.3">
      <c r="B41" t="s">
        <v>76</v>
      </c>
      <c r="C41" s="9">
        <f>IFERROR(C36/C39,0)</f>
        <v>17.945756133622879</v>
      </c>
      <c r="D41" s="9">
        <f t="shared" ref="D41:K41" si="16">IFERROR(D36/D39,0)</f>
        <v>22.51790251790252</v>
      </c>
      <c r="E41" s="9">
        <f t="shared" si="16"/>
        <v>26.507137247655564</v>
      </c>
      <c r="F41" s="9">
        <f t="shared" si="16"/>
        <v>29.249815225424982</v>
      </c>
      <c r="G41" s="9">
        <f t="shared" si="16"/>
        <v>33.320565202587673</v>
      </c>
      <c r="H41" s="9">
        <f t="shared" si="16"/>
        <v>36.912665985699689</v>
      </c>
      <c r="I41" s="9">
        <f t="shared" si="16"/>
        <v>41.262342526387471</v>
      </c>
      <c r="J41" s="9">
        <f t="shared" si="16"/>
        <v>40.283452502553622</v>
      </c>
      <c r="K41" s="9">
        <f t="shared" si="16"/>
        <v>39.789751447054819</v>
      </c>
    </row>
    <row r="42" spans="1:11" outlineLevel="1" x14ac:dyDescent="0.3">
      <c r="B42" s="25" t="s">
        <v>78</v>
      </c>
      <c r="C42" s="26" t="s">
        <v>59</v>
      </c>
      <c r="D42" s="26">
        <f>D41/C41-1</f>
        <v>0.25477591193348159</v>
      </c>
      <c r="E42" s="26">
        <f t="shared" ref="E42:K42" si="17">E41/D41-1</f>
        <v>0.17715836217789205</v>
      </c>
      <c r="F42" s="26">
        <f t="shared" si="17"/>
        <v>0.10346941475213423</v>
      </c>
      <c r="G42" s="26">
        <f t="shared" si="17"/>
        <v>0.1391718185496178</v>
      </c>
      <c r="H42" s="26">
        <f t="shared" si="17"/>
        <v>0.10780431728190054</v>
      </c>
      <c r="I42" s="26">
        <f t="shared" si="17"/>
        <v>0.11783696529459253</v>
      </c>
      <c r="J42" s="26">
        <f t="shared" si="17"/>
        <v>-2.3723568849922771E-2</v>
      </c>
      <c r="K42" s="26">
        <f t="shared" si="17"/>
        <v>-1.2255678816692983E-2</v>
      </c>
    </row>
    <row r="43" spans="1:11" outlineLevel="1" x14ac:dyDescent="0.3"/>
    <row r="44" spans="1:11" outlineLevel="1" x14ac:dyDescent="0.3">
      <c r="B44" t="s">
        <v>77</v>
      </c>
      <c r="C44" s="9">
        <f>IFERROR('Data Sheet'!B31/'Data Sheet'!B93,0)</f>
        <v>16.966224645381878</v>
      </c>
      <c r="D44" s="9">
        <f>IFERROR('Data Sheet'!C31/'Data Sheet'!C93,0)</f>
        <v>19.95841995841996</v>
      </c>
      <c r="E44" s="9">
        <f>IFERROR('Data Sheet'!D31/'Data Sheet'!D93,0)</f>
        <v>21.95223356585208</v>
      </c>
      <c r="F44" s="9">
        <f>IFERROR('Data Sheet'!E31/'Data Sheet'!E93,0)</f>
        <v>24.944567627494457</v>
      </c>
      <c r="G44" s="9">
        <f>IFERROR('Data Sheet'!F31/'Data Sheet'!F93,0)</f>
        <v>40.506894790602651</v>
      </c>
      <c r="H44" s="9">
        <f>IFERROR('Data Sheet'!G31/'Data Sheet'!G93,0)</f>
        <v>34.005788219271366</v>
      </c>
      <c r="I44" s="9">
        <f>IFERROR('Data Sheet'!H31/'Data Sheet'!H93,0)</f>
        <v>39.006639427987743</v>
      </c>
      <c r="J44" s="9">
        <f>IFERROR('Data Sheet'!I31/'Data Sheet'!I93,0)</f>
        <v>42.007150153217566</v>
      </c>
      <c r="K44" s="9">
        <f>IFERROR('Data Sheet'!J31/'Data Sheet'!J93,0)</f>
        <v>53.009022812393596</v>
      </c>
    </row>
    <row r="45" spans="1:11" outlineLevel="1" x14ac:dyDescent="0.3">
      <c r="A45" s="11"/>
      <c r="B45" s="18" t="s">
        <v>79</v>
      </c>
      <c r="C45" s="12">
        <f>C44/C41</f>
        <v>0.94541709577754895</v>
      </c>
      <c r="D45" s="12">
        <f t="shared" ref="D45:K45" si="18">D44/D41</f>
        <v>0.88633565859663521</v>
      </c>
      <c r="E45" s="12">
        <f t="shared" si="18"/>
        <v>0.82816312303938655</v>
      </c>
      <c r="F45" s="12">
        <f t="shared" si="18"/>
        <v>0.85281111813013266</v>
      </c>
      <c r="G45" s="12">
        <f t="shared" si="18"/>
        <v>1.2156724996806743</v>
      </c>
      <c r="H45" s="12">
        <f t="shared" si="18"/>
        <v>0.92124985587455333</v>
      </c>
      <c r="I45" s="12">
        <f t="shared" si="18"/>
        <v>0.94533264569365649</v>
      </c>
      <c r="J45" s="12">
        <f t="shared" si="18"/>
        <v>1.0427892234548337</v>
      </c>
      <c r="K45" s="12">
        <f t="shared" si="18"/>
        <v>1.3322280457802973</v>
      </c>
    </row>
    <row r="46" spans="1:11" outlineLevel="1" x14ac:dyDescent="0.3"/>
    <row r="47" spans="1:11" outlineLevel="1" x14ac:dyDescent="0.3">
      <c r="B47" t="s">
        <v>80</v>
      </c>
      <c r="C47" s="10">
        <f>IFERROR(IF(C41&gt;C44,1-C45,0),0)</f>
        <v>5.4582904222451045E-2</v>
      </c>
      <c r="D47" s="10">
        <f t="shared" ref="D47:K47" si="19">IFERROR(IF(D41&gt;D44,1-D45,0),0)</f>
        <v>0.11366434140336479</v>
      </c>
      <c r="E47" s="10">
        <f t="shared" si="19"/>
        <v>0.17183687696061345</v>
      </c>
      <c r="F47" s="10">
        <f t="shared" si="19"/>
        <v>0.14718888186986734</v>
      </c>
      <c r="G47" s="10">
        <f t="shared" si="19"/>
        <v>0</v>
      </c>
      <c r="H47" s="10">
        <f t="shared" si="19"/>
        <v>7.8750144125446675E-2</v>
      </c>
      <c r="I47" s="10">
        <f t="shared" si="19"/>
        <v>5.4667354306343507E-2</v>
      </c>
      <c r="J47" s="10">
        <f t="shared" si="19"/>
        <v>0</v>
      </c>
      <c r="K47" s="10">
        <f t="shared" si="19"/>
        <v>0</v>
      </c>
    </row>
    <row r="49" spans="1:11" x14ac:dyDescent="0.3">
      <c r="A49" s="2" t="s">
        <v>57</v>
      </c>
      <c r="B49" s="16" t="s">
        <v>81</v>
      </c>
      <c r="C49" s="17"/>
      <c r="D49" s="17"/>
      <c r="E49" s="17"/>
      <c r="F49" s="17"/>
      <c r="G49" s="17"/>
      <c r="H49" s="17"/>
      <c r="I49" s="17"/>
      <c r="J49" s="17"/>
      <c r="K49" s="17"/>
    </row>
    <row r="50" spans="1:11" hidden="1" outlineLevel="1" x14ac:dyDescent="0.3">
      <c r="B50" t="s">
        <v>11</v>
      </c>
      <c r="C50" s="9">
        <f>IFERROR('Data Sheet'!B57,0)</f>
        <v>216</v>
      </c>
      <c r="D50" s="9">
        <f>IFERROR('Data Sheet'!C57,0)</f>
        <v>216</v>
      </c>
      <c r="E50" s="9">
        <f>IFERROR('Data Sheet'!D57,0)</f>
        <v>216</v>
      </c>
      <c r="F50" s="9">
        <f>IFERROR('Data Sheet'!E57,0)</f>
        <v>216</v>
      </c>
      <c r="G50" s="9">
        <f>IFERROR('Data Sheet'!F57,0)</f>
        <v>235</v>
      </c>
      <c r="H50" s="9">
        <f>IFERROR('Data Sheet'!G57,0)</f>
        <v>235</v>
      </c>
      <c r="I50" s="9">
        <f>IFERROR('Data Sheet'!H57,0)</f>
        <v>235</v>
      </c>
      <c r="J50" s="9">
        <f>IFERROR('Data Sheet'!I57,0)</f>
        <v>235</v>
      </c>
      <c r="K50" s="9">
        <f>IFERROR('Data Sheet'!J57,0)</f>
        <v>235</v>
      </c>
    </row>
    <row r="51" spans="1:11" hidden="1" outlineLevel="1" x14ac:dyDescent="0.3">
      <c r="B51" t="s">
        <v>12</v>
      </c>
      <c r="C51" s="9">
        <f>IFERROR('Data Sheet'!B58,0)</f>
        <v>6528</v>
      </c>
      <c r="D51" s="9">
        <f>IFERROR('Data Sheet'!C58,0)</f>
        <v>7065</v>
      </c>
      <c r="E51" s="9">
        <f>IFERROR('Data Sheet'!D58,0)</f>
        <v>7651</v>
      </c>
      <c r="F51" s="9">
        <f>IFERROR('Data Sheet'!E58,0)</f>
        <v>8013</v>
      </c>
      <c r="G51" s="9">
        <f>IFERROR('Data Sheet'!F58,0)</f>
        <v>47439</v>
      </c>
      <c r="H51" s="9">
        <f>IFERROR('Data Sheet'!G58,0)</f>
        <v>48826</v>
      </c>
      <c r="I51" s="9">
        <f>IFERROR('Data Sheet'!H58,0)</f>
        <v>50069</v>
      </c>
      <c r="J51" s="9">
        <f>IFERROR('Data Sheet'!I58,0)</f>
        <v>50983</v>
      </c>
      <c r="K51" s="9">
        <f>IFERROR('Data Sheet'!J58,0)</f>
        <v>49167</v>
      </c>
    </row>
    <row r="52" spans="1:11" hidden="1" outlineLevel="1" x14ac:dyDescent="0.3">
      <c r="B52" t="s">
        <v>36</v>
      </c>
      <c r="C52" s="9">
        <f>IFERROR('Data Sheet'!B59,0)</f>
        <v>277</v>
      </c>
      <c r="D52" s="9">
        <f>IFERROR('Data Sheet'!C59,0)</f>
        <v>0</v>
      </c>
      <c r="E52" s="9">
        <f>IFERROR('Data Sheet'!D59,0)</f>
        <v>99</v>
      </c>
      <c r="F52" s="9">
        <f>IFERROR('Data Sheet'!E59,0)</f>
        <v>0</v>
      </c>
      <c r="G52" s="9">
        <f>IFERROR('Data Sheet'!F59,0)</f>
        <v>0</v>
      </c>
      <c r="H52" s="9">
        <f>IFERROR('Data Sheet'!G59,0)</f>
        <v>1043</v>
      </c>
      <c r="I52" s="9">
        <f>IFERROR('Data Sheet'!H59,0)</f>
        <v>1219</v>
      </c>
      <c r="J52" s="9">
        <f>IFERROR('Data Sheet'!I59,0)</f>
        <v>1484</v>
      </c>
      <c r="K52" s="9">
        <f>IFERROR('Data Sheet'!J59,0)</f>
        <v>1648</v>
      </c>
    </row>
    <row r="53" spans="1:11" hidden="1" outlineLevel="1" x14ac:dyDescent="0.3">
      <c r="B53" t="s">
        <v>37</v>
      </c>
      <c r="C53" s="9">
        <f>IFERROR('Data Sheet'!B60,0)</f>
        <v>8685</v>
      </c>
      <c r="D53" s="9">
        <f>IFERROR('Data Sheet'!C60,0)</f>
        <v>10581</v>
      </c>
      <c r="E53" s="9">
        <f>IFERROR('Data Sheet'!D60,0)</f>
        <v>10663</v>
      </c>
      <c r="F53" s="9">
        <f>IFERROR('Data Sheet'!E60,0)</f>
        <v>11924</v>
      </c>
      <c r="G53" s="9">
        <f>IFERROR('Data Sheet'!F60,0)</f>
        <v>21066</v>
      </c>
      <c r="H53" s="9">
        <f>IFERROR('Data Sheet'!G60,0)</f>
        <v>20402</v>
      </c>
      <c r="I53" s="9">
        <f>IFERROR('Data Sheet'!H60,0)</f>
        <v>21554</v>
      </c>
      <c r="J53" s="9">
        <f>IFERROR('Data Sheet'!I60,0)</f>
        <v>25787</v>
      </c>
      <c r="K53" s="9">
        <f>IFERROR('Data Sheet'!J60,0)</f>
        <v>28813</v>
      </c>
    </row>
    <row r="54" spans="1:11" hidden="1" outlineLevel="1" x14ac:dyDescent="0.3">
      <c r="B54" s="49" t="s">
        <v>82</v>
      </c>
      <c r="C54" s="58">
        <f>IFERROR('Data Sheet'!B61,0)</f>
        <v>15706</v>
      </c>
      <c r="D54" s="58">
        <f>IFERROR('Data Sheet'!C61,0)</f>
        <v>17862</v>
      </c>
      <c r="E54" s="58">
        <f>IFERROR('Data Sheet'!D61,0)</f>
        <v>18629</v>
      </c>
      <c r="F54" s="58">
        <f>IFERROR('Data Sheet'!E61,0)</f>
        <v>20153</v>
      </c>
      <c r="G54" s="58">
        <f>IFERROR('Data Sheet'!F61,0)</f>
        <v>68740</v>
      </c>
      <c r="H54" s="58">
        <f>IFERROR('Data Sheet'!G61,0)</f>
        <v>70506</v>
      </c>
      <c r="I54" s="58">
        <f>IFERROR('Data Sheet'!H61,0)</f>
        <v>73077</v>
      </c>
      <c r="J54" s="58">
        <f>IFERROR('Data Sheet'!I61,0)</f>
        <v>78489</v>
      </c>
      <c r="K54" s="58">
        <f>IFERROR('Data Sheet'!J61,0)</f>
        <v>79863</v>
      </c>
    </row>
    <row r="55" spans="1:11" hidden="1" outlineLevel="1" x14ac:dyDescent="0.3">
      <c r="B55" s="2"/>
    </row>
    <row r="56" spans="1:11" hidden="1" outlineLevel="1" x14ac:dyDescent="0.3">
      <c r="B56" t="s">
        <v>83</v>
      </c>
      <c r="C56" s="9">
        <f>IFERROR('Data Sheet'!B62,0)</f>
        <v>4419</v>
      </c>
      <c r="D56" s="9">
        <f>IFERROR('Data Sheet'!C62,0)</f>
        <v>4528</v>
      </c>
      <c r="E56" s="9">
        <f>IFERROR('Data Sheet'!D62,0)</f>
        <v>4715</v>
      </c>
      <c r="F56" s="9">
        <f>IFERROR('Data Sheet'!E62,0)</f>
        <v>5479</v>
      </c>
      <c r="G56" s="9">
        <f>IFERROR('Data Sheet'!F62,0)</f>
        <v>51443</v>
      </c>
      <c r="H56" s="9">
        <f>IFERROR('Data Sheet'!G62,0)</f>
        <v>51473</v>
      </c>
      <c r="I56" s="9">
        <f>IFERROR('Data Sheet'!H62,0)</f>
        <v>52678</v>
      </c>
      <c r="J56" s="9">
        <f>IFERROR('Data Sheet'!I62,0)</f>
        <v>53744</v>
      </c>
      <c r="K56" s="9">
        <f>IFERROR('Data Sheet'!J62,0)</f>
        <v>54335</v>
      </c>
    </row>
    <row r="57" spans="1:11" hidden="1" outlineLevel="1" x14ac:dyDescent="0.3">
      <c r="B57" t="s">
        <v>15</v>
      </c>
      <c r="C57" s="9">
        <f>IFERROR('Data Sheet'!B63,0)</f>
        <v>229</v>
      </c>
      <c r="D57" s="9">
        <f>IFERROR('Data Sheet'!C63,0)</f>
        <v>461</v>
      </c>
      <c r="E57" s="9">
        <f>IFERROR('Data Sheet'!D63,0)</f>
        <v>406</v>
      </c>
      <c r="F57" s="9">
        <f>IFERROR('Data Sheet'!E63,0)</f>
        <v>597</v>
      </c>
      <c r="G57" s="9">
        <f>IFERROR('Data Sheet'!F63,0)</f>
        <v>745</v>
      </c>
      <c r="H57" s="9">
        <f>IFERROR('Data Sheet'!G63,0)</f>
        <v>1313</v>
      </c>
      <c r="I57" s="9">
        <f>IFERROR('Data Sheet'!H63,0)</f>
        <v>1132</v>
      </c>
      <c r="J57" s="9">
        <f>IFERROR('Data Sheet'!I63,0)</f>
        <v>1025</v>
      </c>
      <c r="K57" s="9">
        <f>IFERROR('Data Sheet'!J63,0)</f>
        <v>1009</v>
      </c>
    </row>
    <row r="58" spans="1:11" hidden="1" outlineLevel="1" x14ac:dyDescent="0.3">
      <c r="B58" t="s">
        <v>16</v>
      </c>
      <c r="C58" s="9">
        <f>IFERROR('Data Sheet'!B64,0)</f>
        <v>3794</v>
      </c>
      <c r="D58" s="9">
        <f>IFERROR('Data Sheet'!C64,0)</f>
        <v>2873</v>
      </c>
      <c r="E58" s="9">
        <f>IFERROR('Data Sheet'!D64,0)</f>
        <v>2716</v>
      </c>
      <c r="F58" s="9">
        <f>IFERROR('Data Sheet'!E64,0)</f>
        <v>1255</v>
      </c>
      <c r="G58" s="9">
        <f>IFERROR('Data Sheet'!F64,0)</f>
        <v>2709</v>
      </c>
      <c r="H58" s="9">
        <f>IFERROR('Data Sheet'!G64,0)</f>
        <v>3521</v>
      </c>
      <c r="I58" s="9">
        <f>IFERROR('Data Sheet'!H64,0)</f>
        <v>2882</v>
      </c>
      <c r="J58" s="9">
        <f>IFERROR('Data Sheet'!I64,0)</f>
        <v>4625</v>
      </c>
      <c r="K58" s="9">
        <f>IFERROR('Data Sheet'!J64,0)</f>
        <v>3810</v>
      </c>
    </row>
    <row r="59" spans="1:11" hidden="1" outlineLevel="1" x14ac:dyDescent="0.3">
      <c r="B59" t="s">
        <v>38</v>
      </c>
      <c r="C59" s="9">
        <f>IFERROR('Data Sheet'!B65-SUM('Data Sheet'!B67:B69),0)</f>
        <v>1810</v>
      </c>
      <c r="D59" s="9">
        <f>IFERROR('Data Sheet'!C65-SUM('Data Sheet'!C67:C69),0)</f>
        <v>2692</v>
      </c>
      <c r="E59" s="9">
        <f>IFERROR('Data Sheet'!D65-SUM('Data Sheet'!D67:D69),0)</f>
        <v>2645</v>
      </c>
      <c r="F59" s="9">
        <f>IFERROR('Data Sheet'!E65-SUM('Data Sheet'!E67:E69),0)</f>
        <v>3793</v>
      </c>
      <c r="G59" s="9">
        <f>IFERROR('Data Sheet'!F65-SUM('Data Sheet'!F67:F69),0)</f>
        <v>4035</v>
      </c>
      <c r="H59" s="9">
        <f>IFERROR('Data Sheet'!G65-SUM('Data Sheet'!G67:G69),0)</f>
        <v>4021</v>
      </c>
      <c r="I59" s="9">
        <f>IFERROR('Data Sheet'!H65-SUM('Data Sheet'!H67:H69),0)</f>
        <v>4377</v>
      </c>
      <c r="J59" s="9">
        <f>IFERROR('Data Sheet'!I65-SUM('Data Sheet'!I67:I69),0)</f>
        <v>4517</v>
      </c>
      <c r="K59" s="9">
        <f>IFERROR('Data Sheet'!J65-SUM('Data Sheet'!J67:J69),0)</f>
        <v>4921</v>
      </c>
    </row>
    <row r="60" spans="1:11" hidden="1" outlineLevel="1" x14ac:dyDescent="0.3">
      <c r="B60" s="25" t="s">
        <v>84</v>
      </c>
      <c r="C60" s="26">
        <f>SUM(C56:C59)</f>
        <v>10252</v>
      </c>
      <c r="D60" s="26">
        <f t="shared" ref="D60:K60" si="20">SUM(D56:D59)</f>
        <v>10554</v>
      </c>
      <c r="E60" s="26">
        <f t="shared" si="20"/>
        <v>10482</v>
      </c>
      <c r="F60" s="26">
        <f t="shared" si="20"/>
        <v>11124</v>
      </c>
      <c r="G60" s="26">
        <f t="shared" si="20"/>
        <v>58932</v>
      </c>
      <c r="H60" s="26">
        <f t="shared" si="20"/>
        <v>60328</v>
      </c>
      <c r="I60" s="26">
        <f t="shared" si="20"/>
        <v>61069</v>
      </c>
      <c r="J60" s="26">
        <f t="shared" si="20"/>
        <v>63911</v>
      </c>
      <c r="K60" s="26">
        <f t="shared" si="20"/>
        <v>64075</v>
      </c>
    </row>
    <row r="61" spans="1:11" hidden="1" outlineLevel="1" x14ac:dyDescent="0.3">
      <c r="C61" s="9"/>
      <c r="D61" s="9"/>
      <c r="E61" s="9"/>
      <c r="F61" s="9"/>
      <c r="G61" s="9"/>
      <c r="H61" s="9"/>
      <c r="I61" s="9"/>
      <c r="J61" s="9"/>
      <c r="K61" s="9"/>
    </row>
    <row r="62" spans="1:11" hidden="1" outlineLevel="1" x14ac:dyDescent="0.3">
      <c r="B62" t="s">
        <v>43</v>
      </c>
      <c r="C62" s="9">
        <f>IFERROR('Data Sheet'!B67,0)</f>
        <v>1085</v>
      </c>
      <c r="D62" s="9">
        <f>IFERROR('Data Sheet'!C67,0)</f>
        <v>1310</v>
      </c>
      <c r="E62" s="9">
        <f>IFERROR('Data Sheet'!D67,0)</f>
        <v>1816</v>
      </c>
      <c r="F62" s="9">
        <f>IFERROR('Data Sheet'!E67,0)</f>
        <v>1149</v>
      </c>
      <c r="G62" s="9">
        <f>IFERROR('Data Sheet'!F67,0)</f>
        <v>1758</v>
      </c>
      <c r="H62" s="9">
        <f>IFERROR('Data Sheet'!G67,0)</f>
        <v>2236</v>
      </c>
      <c r="I62" s="9">
        <f>IFERROR('Data Sheet'!H67,0)</f>
        <v>3079</v>
      </c>
      <c r="J62" s="9">
        <f>IFERROR('Data Sheet'!I67,0)</f>
        <v>2997</v>
      </c>
      <c r="K62" s="9">
        <f>IFERROR('Data Sheet'!J67,0)</f>
        <v>3819</v>
      </c>
    </row>
    <row r="63" spans="1:11" hidden="1" outlineLevel="1" x14ac:dyDescent="0.3">
      <c r="B63" t="s">
        <v>30</v>
      </c>
      <c r="C63" s="9">
        <f>IFERROR('Data Sheet'!B68,0)</f>
        <v>2541</v>
      </c>
      <c r="D63" s="9">
        <f>IFERROR('Data Sheet'!C68,0)</f>
        <v>2513</v>
      </c>
      <c r="E63" s="9">
        <f>IFERROR('Data Sheet'!D68,0)</f>
        <v>2574</v>
      </c>
      <c r="F63" s="9">
        <f>IFERROR('Data Sheet'!E68,0)</f>
        <v>2767</v>
      </c>
      <c r="G63" s="9">
        <f>IFERROR('Data Sheet'!F68,0)</f>
        <v>3579</v>
      </c>
      <c r="H63" s="9">
        <f>IFERROR('Data Sheet'!G68,0)</f>
        <v>4096</v>
      </c>
      <c r="I63" s="9">
        <f>IFERROR('Data Sheet'!H68,0)</f>
        <v>4251</v>
      </c>
      <c r="J63" s="9">
        <f>IFERROR('Data Sheet'!I68,0)</f>
        <v>4022</v>
      </c>
      <c r="K63" s="9">
        <f>IFERROR('Data Sheet'!J68,0)</f>
        <v>4415</v>
      </c>
    </row>
    <row r="64" spans="1:11" hidden="1" outlineLevel="1" x14ac:dyDescent="0.3">
      <c r="B64" t="s">
        <v>52</v>
      </c>
      <c r="C64" s="9">
        <f>IFERROR('Data Sheet'!B69,0)</f>
        <v>1828</v>
      </c>
      <c r="D64" s="9">
        <f>IFERROR('Data Sheet'!C69,0)</f>
        <v>3485</v>
      </c>
      <c r="E64" s="9">
        <f>IFERROR('Data Sheet'!D69,0)</f>
        <v>3757</v>
      </c>
      <c r="F64" s="9">
        <f>IFERROR('Data Sheet'!E69,0)</f>
        <v>5113</v>
      </c>
      <c r="G64" s="9">
        <f>IFERROR('Data Sheet'!F69,0)</f>
        <v>4471</v>
      </c>
      <c r="H64" s="9">
        <f>IFERROR('Data Sheet'!G69,0)</f>
        <v>3846</v>
      </c>
      <c r="I64" s="9">
        <f>IFERROR('Data Sheet'!H69,0)</f>
        <v>4678</v>
      </c>
      <c r="J64" s="9">
        <f>IFERROR('Data Sheet'!I69,0)</f>
        <v>7559</v>
      </c>
      <c r="K64" s="9">
        <f>IFERROR('Data Sheet'!J69,0)</f>
        <v>7554</v>
      </c>
    </row>
    <row r="65" spans="1:11" hidden="1" outlineLevel="1" x14ac:dyDescent="0.3">
      <c r="B65" s="25" t="s">
        <v>85</v>
      </c>
      <c r="C65" s="26">
        <f>SUM(C62:C64)</f>
        <v>5454</v>
      </c>
      <c r="D65" s="26">
        <f t="shared" ref="D65:K65" si="21">SUM(D62:D64)</f>
        <v>7308</v>
      </c>
      <c r="E65" s="26">
        <f t="shared" si="21"/>
        <v>8147</v>
      </c>
      <c r="F65" s="26">
        <f t="shared" si="21"/>
        <v>9029</v>
      </c>
      <c r="G65" s="26">
        <f t="shared" si="21"/>
        <v>9808</v>
      </c>
      <c r="H65" s="26">
        <f t="shared" si="21"/>
        <v>10178</v>
      </c>
      <c r="I65" s="26">
        <f t="shared" si="21"/>
        <v>12008</v>
      </c>
      <c r="J65" s="26">
        <f t="shared" si="21"/>
        <v>14578</v>
      </c>
      <c r="K65" s="26">
        <f t="shared" si="21"/>
        <v>15788</v>
      </c>
    </row>
    <row r="66" spans="1:11" hidden="1" outlineLevel="1" x14ac:dyDescent="0.3">
      <c r="B66" s="2"/>
      <c r="C66" s="19"/>
      <c r="D66" s="19"/>
      <c r="E66" s="19"/>
      <c r="F66" s="19"/>
      <c r="G66" s="19"/>
      <c r="H66" s="19"/>
      <c r="I66" s="19"/>
      <c r="J66" s="19"/>
      <c r="K66" s="19"/>
    </row>
    <row r="67" spans="1:11" ht="15" hidden="1" outlineLevel="1" thickBot="1" x14ac:dyDescent="0.35">
      <c r="B67" s="54" t="s">
        <v>86</v>
      </c>
      <c r="C67" s="57">
        <f t="shared" ref="C67:K67" si="22">C65+C60</f>
        <v>15706</v>
      </c>
      <c r="D67" s="57">
        <f t="shared" si="22"/>
        <v>17862</v>
      </c>
      <c r="E67" s="57">
        <f t="shared" si="22"/>
        <v>18629</v>
      </c>
      <c r="F67" s="57">
        <f t="shared" si="22"/>
        <v>20153</v>
      </c>
      <c r="G67" s="57">
        <f t="shared" si="22"/>
        <v>68740</v>
      </c>
      <c r="H67" s="57">
        <f t="shared" si="22"/>
        <v>70506</v>
      </c>
      <c r="I67" s="57">
        <f t="shared" si="22"/>
        <v>73077</v>
      </c>
      <c r="J67" s="57">
        <f t="shared" si="22"/>
        <v>78489</v>
      </c>
      <c r="K67" s="57">
        <f t="shared" si="22"/>
        <v>79863</v>
      </c>
    </row>
    <row r="68" spans="1:11" collapsed="1" x14ac:dyDescent="0.3"/>
    <row r="69" spans="1:11" x14ac:dyDescent="0.3">
      <c r="A69" s="2" t="s">
        <v>57</v>
      </c>
      <c r="B69" s="16" t="s">
        <v>112</v>
      </c>
      <c r="C69" s="17"/>
      <c r="D69" s="17"/>
      <c r="E69" s="17"/>
      <c r="F69" s="17"/>
      <c r="G69" s="17"/>
      <c r="H69" s="17"/>
      <c r="I69" s="17"/>
      <c r="J69" s="17"/>
      <c r="K69" s="17"/>
    </row>
    <row r="70" spans="1:11" outlineLevel="1" x14ac:dyDescent="0.3">
      <c r="B70" s="2" t="s">
        <v>113</v>
      </c>
    </row>
    <row r="71" spans="1:11" outlineLevel="1" x14ac:dyDescent="0.3">
      <c r="B71" t="s">
        <v>88</v>
      </c>
      <c r="C71" s="9">
        <f>IFERROR('Cash Flow Data'!E4,0)</f>
        <v>984</v>
      </c>
      <c r="D71" s="9">
        <f>IFERROR('Cash Flow Data'!F4,0)</f>
        <v>1375</v>
      </c>
      <c r="E71" s="9">
        <f>IFERROR('Cash Flow Data'!G4,0)</f>
        <v>1659</v>
      </c>
      <c r="F71" s="9">
        <f>IFERROR('Cash Flow Data'!H4,0)</f>
        <v>2149</v>
      </c>
      <c r="G71" s="9">
        <f>IFERROR('Cash Flow Data'!I4,0)</f>
        <v>1764</v>
      </c>
      <c r="H71" s="9">
        <f>IFERROR('Cash Flow Data'!J4,0)</f>
        <v>2515</v>
      </c>
      <c r="I71" s="9">
        <f>IFERROR('Cash Flow Data'!K4,0)</f>
        <v>3659</v>
      </c>
      <c r="J71" s="9">
        <f>IFERROR('Cash Flow Data'!L4,0)</f>
        <v>4131</v>
      </c>
      <c r="K71" s="9">
        <f>IFERROR('Cash Flow Data'!M4,0)</f>
        <v>4535</v>
      </c>
    </row>
    <row r="72" spans="1:11" outlineLevel="1" x14ac:dyDescent="0.3">
      <c r="B72" t="s">
        <v>43</v>
      </c>
      <c r="C72" s="9">
        <f>IFERROR('Cash Flow Data'!E5,0)</f>
        <v>54</v>
      </c>
      <c r="D72" s="9">
        <f>IFERROR('Cash Flow Data'!F5,0)</f>
        <v>-13</v>
      </c>
      <c r="E72" s="9">
        <f>IFERROR('Cash Flow Data'!G5,0)</f>
        <v>-31</v>
      </c>
      <c r="F72" s="9">
        <f>IFERROR('Cash Flow Data'!H5,0)</f>
        <v>45</v>
      </c>
      <c r="G72" s="9">
        <f>IFERROR('Cash Flow Data'!I5,0)</f>
        <v>-24</v>
      </c>
      <c r="H72" s="9">
        <f>IFERROR('Cash Flow Data'!J5,0)</f>
        <v>-23</v>
      </c>
      <c r="I72" s="9">
        <f>IFERROR('Cash Flow Data'!K5,0)</f>
        <v>5</v>
      </c>
      <c r="J72" s="9">
        <f>IFERROR('Cash Flow Data'!L5,0)</f>
        <v>-104</v>
      </c>
      <c r="K72" s="9">
        <f>IFERROR('Cash Flow Data'!M5,0)</f>
        <v>13</v>
      </c>
    </row>
    <row r="73" spans="1:11" outlineLevel="1" x14ac:dyDescent="0.3">
      <c r="B73" t="s">
        <v>30</v>
      </c>
      <c r="C73" s="9">
        <f>IFERROR('Cash Flow Data'!E6,0)</f>
        <v>-276</v>
      </c>
      <c r="D73" s="9">
        <f>IFERROR('Cash Flow Data'!F6,0)</f>
        <v>-212</v>
      </c>
      <c r="E73" s="9">
        <f>IFERROR('Cash Flow Data'!G6,0)</f>
        <v>-445</v>
      </c>
      <c r="F73" s="9">
        <f>IFERROR('Cash Flow Data'!H6,0)</f>
        <v>-339</v>
      </c>
      <c r="G73" s="9">
        <f>IFERROR('Cash Flow Data'!I6,0)</f>
        <v>-301</v>
      </c>
      <c r="H73" s="9">
        <f>IFERROR('Cash Flow Data'!J6,0)</f>
        <v>-494</v>
      </c>
      <c r="I73" s="9">
        <f>IFERROR('Cash Flow Data'!K6,0)</f>
        <v>-501</v>
      </c>
      <c r="J73" s="9">
        <f>IFERROR('Cash Flow Data'!L6,0)</f>
        <v>-684</v>
      </c>
      <c r="K73" s="9">
        <f>IFERROR('Cash Flow Data'!M6,0)</f>
        <v>-1117</v>
      </c>
    </row>
    <row r="74" spans="1:11" outlineLevel="1" x14ac:dyDescent="0.3">
      <c r="B74" t="s">
        <v>89</v>
      </c>
      <c r="C74" s="9">
        <f>IFERROR('Cash Flow Data'!E7,0)</f>
        <v>0</v>
      </c>
      <c r="D74" s="9">
        <f>IFERROR('Cash Flow Data'!F7,0)</f>
        <v>55</v>
      </c>
      <c r="E74" s="9">
        <f>IFERROR('Cash Flow Data'!G7,0)</f>
        <v>146</v>
      </c>
      <c r="F74" s="9">
        <f>IFERROR('Cash Flow Data'!H7,0)</f>
        <v>-30</v>
      </c>
      <c r="G74" s="9">
        <f>IFERROR('Cash Flow Data'!I7,0)</f>
        <v>145</v>
      </c>
      <c r="H74" s="9">
        <f>IFERROR('Cash Flow Data'!J7,0)</f>
        <v>11</v>
      </c>
      <c r="I74" s="9">
        <f>IFERROR('Cash Flow Data'!K7,0)</f>
        <v>165</v>
      </c>
      <c r="J74" s="9">
        <f>IFERROR('Cash Flow Data'!L7,0)</f>
        <v>231</v>
      </c>
      <c r="K74" s="9">
        <f>IFERROR('Cash Flow Data'!M7,0)</f>
        <v>86</v>
      </c>
    </row>
    <row r="75" spans="1:11" outlineLevel="1" x14ac:dyDescent="0.3">
      <c r="B75" t="s">
        <v>126</v>
      </c>
      <c r="C75" s="9">
        <f>IFERROR('Cash Flow Data'!E8,0)</f>
        <v>0</v>
      </c>
      <c r="D75" s="9">
        <f>IFERROR('Cash Flow Data'!F8,0)</f>
        <v>0</v>
      </c>
      <c r="E75" s="9">
        <f>IFERROR('Cash Flow Data'!G8,0)</f>
        <v>0</v>
      </c>
      <c r="F75" s="9">
        <f>IFERROR('Cash Flow Data'!H8,0)</f>
        <v>0</v>
      </c>
      <c r="G75" s="9">
        <f>IFERROR('Cash Flow Data'!I8,0)</f>
        <v>0</v>
      </c>
      <c r="H75" s="9">
        <f>IFERROR('Cash Flow Data'!J8,0)</f>
        <v>0</v>
      </c>
      <c r="I75" s="9">
        <f>IFERROR('Cash Flow Data'!K8,0)</f>
        <v>0</v>
      </c>
      <c r="J75" s="9">
        <f>IFERROR('Cash Flow Data'!L8,0)</f>
        <v>0</v>
      </c>
      <c r="K75" s="9">
        <f>IFERROR('Cash Flow Data'!M8,0)</f>
        <v>0</v>
      </c>
    </row>
    <row r="76" spans="1:11" outlineLevel="1" x14ac:dyDescent="0.3">
      <c r="B76" t="s">
        <v>127</v>
      </c>
      <c r="C76" s="9">
        <f>IFERROR('Cash Flow Data'!E9,0)</f>
        <v>-2</v>
      </c>
      <c r="D76" s="9">
        <f>IFERROR('Cash Flow Data'!F9,0)</f>
        <v>-62</v>
      </c>
      <c r="E76" s="9">
        <f>IFERROR('Cash Flow Data'!G9,0)</f>
        <v>52</v>
      </c>
      <c r="F76" s="9">
        <f>IFERROR('Cash Flow Data'!H9,0)</f>
        <v>2</v>
      </c>
      <c r="G76" s="9">
        <f>IFERROR('Cash Flow Data'!I9,0)</f>
        <v>12</v>
      </c>
      <c r="H76" s="9">
        <f>IFERROR('Cash Flow Data'!J9,0)</f>
        <v>-3</v>
      </c>
      <c r="I76" s="9">
        <f>IFERROR('Cash Flow Data'!K9,0)</f>
        <v>0</v>
      </c>
      <c r="J76" s="9">
        <f>IFERROR('Cash Flow Data'!L9,0)</f>
        <v>0</v>
      </c>
      <c r="K76" s="9">
        <f>IFERROR('Cash Flow Data'!M9,0)</f>
        <v>0</v>
      </c>
    </row>
    <row r="77" spans="1:11" outlineLevel="1" x14ac:dyDescent="0.3">
      <c r="B77" t="s">
        <v>128</v>
      </c>
      <c r="C77" s="9">
        <f>IFERROR('Cash Flow Data'!E10,0)</f>
        <v>-46</v>
      </c>
      <c r="D77" s="9">
        <f>IFERROR('Cash Flow Data'!F10,0)</f>
        <v>-11</v>
      </c>
      <c r="E77" s="9">
        <f>IFERROR('Cash Flow Data'!G10,0)</f>
        <v>-72</v>
      </c>
      <c r="F77" s="9">
        <f>IFERROR('Cash Flow Data'!H10,0)</f>
        <v>-54</v>
      </c>
      <c r="G77" s="9">
        <f>IFERROR('Cash Flow Data'!I10,0)</f>
        <v>41</v>
      </c>
      <c r="H77" s="9">
        <f>IFERROR('Cash Flow Data'!J10,0)</f>
        <v>-73</v>
      </c>
      <c r="I77" s="9">
        <f>IFERROR('Cash Flow Data'!K10,0)</f>
        <v>12</v>
      </c>
      <c r="J77" s="9">
        <f>IFERROR('Cash Flow Data'!L10,0)</f>
        <v>-87</v>
      </c>
      <c r="K77" s="9">
        <f>IFERROR('Cash Flow Data'!M10,0)</f>
        <v>-94</v>
      </c>
    </row>
    <row r="78" spans="1:11" outlineLevel="1" x14ac:dyDescent="0.3">
      <c r="B78" s="23" t="s">
        <v>90</v>
      </c>
      <c r="C78" s="24">
        <f>IFERROR('Cash Flow Data'!E11,0)</f>
        <v>-270</v>
      </c>
      <c r="D78" s="24">
        <f>IFERROR('Cash Flow Data'!F11,0)</f>
        <v>-243</v>
      </c>
      <c r="E78" s="24">
        <f>IFERROR('Cash Flow Data'!G11,0)</f>
        <v>-351</v>
      </c>
      <c r="F78" s="24">
        <f>IFERROR('Cash Flow Data'!H11,0)</f>
        <v>-376</v>
      </c>
      <c r="G78" s="24">
        <f>IFERROR('Cash Flow Data'!I11,0)</f>
        <v>-127</v>
      </c>
      <c r="H78" s="24">
        <f>IFERROR('Cash Flow Data'!J11,0)</f>
        <v>-582</v>
      </c>
      <c r="I78" s="24">
        <f>IFERROR('Cash Flow Data'!K11,0)</f>
        <v>-320</v>
      </c>
      <c r="J78" s="24">
        <f>IFERROR('Cash Flow Data'!L11,0)</f>
        <v>-644</v>
      </c>
      <c r="K78" s="24">
        <f>IFERROR('Cash Flow Data'!M11,0)</f>
        <v>-1113</v>
      </c>
    </row>
    <row r="79" spans="1:11" outlineLevel="1" x14ac:dyDescent="0.3">
      <c r="B79" t="s">
        <v>91</v>
      </c>
      <c r="C79" s="9">
        <f>IFERROR('Cash Flow Data'!E12,0)</f>
        <v>-258</v>
      </c>
      <c r="D79" s="9">
        <f>IFERROR('Cash Flow Data'!F12,0)</f>
        <v>-403</v>
      </c>
      <c r="E79" s="9">
        <f>IFERROR('Cash Flow Data'!G12,0)</f>
        <v>-502</v>
      </c>
      <c r="F79" s="9">
        <f>IFERROR('Cash Flow Data'!H12,0)</f>
        <v>-492</v>
      </c>
      <c r="G79" s="9">
        <f>IFERROR('Cash Flow Data'!I12,0)</f>
        <v>-262</v>
      </c>
      <c r="H79" s="9">
        <f>IFERROR('Cash Flow Data'!J12,0)</f>
        <v>-560</v>
      </c>
      <c r="I79" s="9">
        <f>IFERROR('Cash Flow Data'!K12,0)</f>
        <v>-709</v>
      </c>
      <c r="J79" s="9">
        <f>IFERROR('Cash Flow Data'!L12,0)</f>
        <v>-742</v>
      </c>
      <c r="K79" s="9">
        <f>IFERROR('Cash Flow Data'!M12,0)</f>
        <v>-959</v>
      </c>
    </row>
    <row r="80" spans="1:11" outlineLevel="1" x14ac:dyDescent="0.3">
      <c r="A80" s="2"/>
      <c r="B80" s="25" t="s">
        <v>114</v>
      </c>
      <c r="C80" s="26">
        <f>IFERROR(SUM(C71,C78,C79),0)</f>
        <v>456</v>
      </c>
      <c r="D80" s="26">
        <f t="shared" ref="D80:K80" si="23">IFERROR(SUM(D71,D78,D79),0)</f>
        <v>729</v>
      </c>
      <c r="E80" s="26">
        <f t="shared" si="23"/>
        <v>806</v>
      </c>
      <c r="F80" s="26">
        <f t="shared" si="23"/>
        <v>1281</v>
      </c>
      <c r="G80" s="26">
        <f t="shared" si="23"/>
        <v>1375</v>
      </c>
      <c r="H80" s="26">
        <f t="shared" si="23"/>
        <v>1373</v>
      </c>
      <c r="I80" s="26">
        <f t="shared" si="23"/>
        <v>2630</v>
      </c>
      <c r="J80" s="26">
        <f t="shared" si="23"/>
        <v>2745</v>
      </c>
      <c r="K80" s="26">
        <f t="shared" si="23"/>
        <v>2463</v>
      </c>
    </row>
    <row r="81" spans="2:11" outlineLevel="1" x14ac:dyDescent="0.3"/>
    <row r="82" spans="2:11" outlineLevel="1" x14ac:dyDescent="0.3">
      <c r="B82" s="2" t="s">
        <v>115</v>
      </c>
    </row>
    <row r="83" spans="2:11" outlineLevel="1" x14ac:dyDescent="0.3">
      <c r="B83" t="s">
        <v>93</v>
      </c>
      <c r="C83" s="9">
        <f>IFERROR('Cash Flow Data'!E14,0)</f>
        <v>-645</v>
      </c>
      <c r="D83" s="9">
        <f>IFERROR('Cash Flow Data'!F14,0)</f>
        <v>-916</v>
      </c>
      <c r="E83" s="9">
        <f>IFERROR('Cash Flow Data'!G14,0)</f>
        <v>-1417</v>
      </c>
      <c r="F83" s="9">
        <f>IFERROR('Cash Flow Data'!H14,0)</f>
        <v>-1712</v>
      </c>
      <c r="G83" s="9">
        <f>IFERROR('Cash Flow Data'!I14,0)</f>
        <v>-2029</v>
      </c>
      <c r="H83" s="9">
        <f>IFERROR('Cash Flow Data'!J14,0)</f>
        <v>-2410</v>
      </c>
      <c r="I83" s="9">
        <f>IFERROR('Cash Flow Data'!K14,0)</f>
        <v>-2212</v>
      </c>
      <c r="J83" s="9">
        <f>IFERROR('Cash Flow Data'!L14,0)</f>
        <v>-2731</v>
      </c>
      <c r="K83" s="9">
        <f>IFERROR('Cash Flow Data'!M14,0)</f>
        <v>-3423</v>
      </c>
    </row>
    <row r="84" spans="2:11" outlineLevel="1" x14ac:dyDescent="0.3">
      <c r="B84" t="s">
        <v>94</v>
      </c>
      <c r="C84" s="9">
        <f>IFERROR('Cash Flow Data'!E15,0)</f>
        <v>10</v>
      </c>
      <c r="D84" s="9">
        <f>IFERROR('Cash Flow Data'!F15,0)</f>
        <v>7</v>
      </c>
      <c r="E84" s="9">
        <f>IFERROR('Cash Flow Data'!G15,0)</f>
        <v>8</v>
      </c>
      <c r="F84" s="9">
        <f>IFERROR('Cash Flow Data'!H15,0)</f>
        <v>6</v>
      </c>
      <c r="G84" s="9">
        <f>IFERROR('Cash Flow Data'!I15,0)</f>
        <v>2</v>
      </c>
      <c r="H84" s="9">
        <f>IFERROR('Cash Flow Data'!J15,0)</f>
        <v>21</v>
      </c>
      <c r="I84" s="9">
        <f>IFERROR('Cash Flow Data'!K15,0)</f>
        <v>5</v>
      </c>
      <c r="J84" s="9">
        <f>IFERROR('Cash Flow Data'!L15,0)</f>
        <v>9</v>
      </c>
      <c r="K84" s="9">
        <f>IFERROR('Cash Flow Data'!M15,0)</f>
        <v>6</v>
      </c>
    </row>
    <row r="85" spans="2:11" outlineLevel="1" x14ac:dyDescent="0.3">
      <c r="B85" t="s">
        <v>95</v>
      </c>
      <c r="C85" s="9">
        <f>IFERROR('Cash Flow Data'!E16,0)</f>
        <v>0</v>
      </c>
      <c r="D85" s="9">
        <f>IFERROR('Cash Flow Data'!F16,0)</f>
        <v>0</v>
      </c>
      <c r="E85" s="9">
        <f>IFERROR('Cash Flow Data'!G16,0)</f>
        <v>0</v>
      </c>
      <c r="F85" s="9">
        <f>IFERROR('Cash Flow Data'!H16,0)</f>
        <v>0</v>
      </c>
      <c r="G85" s="9">
        <f>IFERROR('Cash Flow Data'!I16,0)</f>
        <v>0</v>
      </c>
      <c r="H85" s="9">
        <f>IFERROR('Cash Flow Data'!J16,0)</f>
        <v>0</v>
      </c>
      <c r="I85" s="9">
        <f>IFERROR('Cash Flow Data'!K16,0)</f>
        <v>-193</v>
      </c>
      <c r="J85" s="9">
        <f>IFERROR('Cash Flow Data'!L16,0)</f>
        <v>-4201</v>
      </c>
      <c r="K85" s="9">
        <f>IFERROR('Cash Flow Data'!M16,0)</f>
        <v>-4948</v>
      </c>
    </row>
    <row r="86" spans="2:11" outlineLevel="1" x14ac:dyDescent="0.3">
      <c r="B86" t="s">
        <v>96</v>
      </c>
      <c r="C86" s="9">
        <f>IFERROR('Cash Flow Data'!E17,0)</f>
        <v>0</v>
      </c>
      <c r="D86" s="9">
        <f>IFERROR('Cash Flow Data'!F17,0)</f>
        <v>1376</v>
      </c>
      <c r="E86" s="9">
        <f>IFERROR('Cash Flow Data'!G17,0)</f>
        <v>410</v>
      </c>
      <c r="F86" s="9">
        <f>IFERROR('Cash Flow Data'!H17,0)</f>
        <v>232</v>
      </c>
      <c r="G86" s="9">
        <f>IFERROR('Cash Flow Data'!I17,0)</f>
        <v>3</v>
      </c>
      <c r="H86" s="9">
        <f>IFERROR('Cash Flow Data'!J17,0)</f>
        <v>4</v>
      </c>
      <c r="I86" s="9">
        <f>IFERROR('Cash Flow Data'!K17,0)</f>
        <v>6</v>
      </c>
      <c r="J86" s="9">
        <f>IFERROR('Cash Flow Data'!L17,0)</f>
        <v>4324</v>
      </c>
      <c r="K86" s="9">
        <f>IFERROR('Cash Flow Data'!M17,0)</f>
        <v>5074</v>
      </c>
    </row>
    <row r="87" spans="2:11" outlineLevel="1" x14ac:dyDescent="0.3">
      <c r="B87" t="s">
        <v>129</v>
      </c>
      <c r="C87" s="9">
        <f>IFERROR('Cash Flow Data'!E18,0)</f>
        <v>8</v>
      </c>
      <c r="D87" s="9">
        <f>IFERROR('Cash Flow Data'!F18,0)</f>
        <v>0</v>
      </c>
      <c r="E87" s="9">
        <f>IFERROR('Cash Flow Data'!G18,0)</f>
        <v>0</v>
      </c>
      <c r="F87" s="9">
        <f>IFERROR('Cash Flow Data'!H18,0)</f>
        <v>0</v>
      </c>
      <c r="G87" s="9">
        <f>IFERROR('Cash Flow Data'!I18,0)</f>
        <v>0</v>
      </c>
      <c r="H87" s="9">
        <f>IFERROR('Cash Flow Data'!J18,0)</f>
        <v>0</v>
      </c>
      <c r="I87" s="9">
        <f>IFERROR('Cash Flow Data'!K18,0)</f>
        <v>0</v>
      </c>
      <c r="J87" s="9">
        <f>IFERROR('Cash Flow Data'!L18,0)</f>
        <v>0</v>
      </c>
      <c r="K87" s="9">
        <f>IFERROR('Cash Flow Data'!M18,0)</f>
        <v>0</v>
      </c>
    </row>
    <row r="88" spans="2:11" outlineLevel="1" x14ac:dyDescent="0.3">
      <c r="B88" t="s">
        <v>97</v>
      </c>
      <c r="C88" s="9">
        <f>IFERROR('Cash Flow Data'!E19,0)</f>
        <v>1</v>
      </c>
      <c r="D88" s="9">
        <f>IFERROR('Cash Flow Data'!F19,0)</f>
        <v>31</v>
      </c>
      <c r="E88" s="9">
        <f>IFERROR('Cash Flow Data'!G19,0)</f>
        <v>36</v>
      </c>
      <c r="F88" s="9">
        <f>IFERROR('Cash Flow Data'!H19,0)</f>
        <v>12</v>
      </c>
      <c r="G88" s="9">
        <f>IFERROR('Cash Flow Data'!I19,0)</f>
        <v>129</v>
      </c>
      <c r="H88" s="9">
        <f>IFERROR('Cash Flow Data'!J19,0)</f>
        <v>43</v>
      </c>
      <c r="I88" s="9">
        <f>IFERROR('Cash Flow Data'!K19,0)</f>
        <v>39</v>
      </c>
      <c r="J88" s="9">
        <f>IFERROR('Cash Flow Data'!L19,0)</f>
        <v>262</v>
      </c>
      <c r="K88" s="9">
        <f>IFERROR('Cash Flow Data'!M19,0)</f>
        <v>103</v>
      </c>
    </row>
    <row r="89" spans="2:11" outlineLevel="1" x14ac:dyDescent="0.3">
      <c r="B89" t="s">
        <v>98</v>
      </c>
      <c r="C89" s="9">
        <f>IFERROR('Cash Flow Data'!E20,0)</f>
        <v>0</v>
      </c>
      <c r="D89" s="9">
        <f>IFERROR('Cash Flow Data'!F20,0)</f>
        <v>0</v>
      </c>
      <c r="E89" s="9">
        <f>IFERROR('Cash Flow Data'!G20,0)</f>
        <v>0</v>
      </c>
      <c r="F89" s="9">
        <f>IFERROR('Cash Flow Data'!H20,0)</f>
        <v>0</v>
      </c>
      <c r="G89" s="9">
        <f>IFERROR('Cash Flow Data'!I20,0)</f>
        <v>0</v>
      </c>
      <c r="H89" s="9">
        <f>IFERROR('Cash Flow Data'!J20,0)</f>
        <v>0</v>
      </c>
      <c r="I89" s="9">
        <f>IFERROR('Cash Flow Data'!K20,0)</f>
        <v>0</v>
      </c>
      <c r="J89" s="9">
        <f>IFERROR('Cash Flow Data'!L20,0)</f>
        <v>0</v>
      </c>
      <c r="K89" s="9">
        <f>IFERROR('Cash Flow Data'!M20,0)</f>
        <v>0</v>
      </c>
    </row>
    <row r="90" spans="2:11" outlineLevel="1" x14ac:dyDescent="0.3">
      <c r="B90" t="s">
        <v>99</v>
      </c>
      <c r="C90" s="9">
        <f>IFERROR('Cash Flow Data'!E21,0)</f>
        <v>-21</v>
      </c>
      <c r="D90" s="9">
        <f>IFERROR('Cash Flow Data'!F21,0)</f>
        <v>-49</v>
      </c>
      <c r="E90" s="9">
        <f>IFERROR('Cash Flow Data'!G21,0)</f>
        <v>0</v>
      </c>
      <c r="F90" s="9">
        <f>IFERROR('Cash Flow Data'!H21,0)</f>
        <v>0</v>
      </c>
      <c r="G90" s="9">
        <f>IFERROR('Cash Flow Data'!I21,0)</f>
        <v>0</v>
      </c>
      <c r="H90" s="9">
        <f>IFERROR('Cash Flow Data'!J21,0)</f>
        <v>0</v>
      </c>
      <c r="I90" s="9">
        <f>IFERROR('Cash Flow Data'!K21,0)</f>
        <v>0</v>
      </c>
      <c r="J90" s="9">
        <f>IFERROR('Cash Flow Data'!L21,0)</f>
        <v>0</v>
      </c>
      <c r="K90" s="9">
        <f>IFERROR('Cash Flow Data'!M21,0)</f>
        <v>0</v>
      </c>
    </row>
    <row r="91" spans="2:11" outlineLevel="1" x14ac:dyDescent="0.3">
      <c r="B91" t="s">
        <v>130</v>
      </c>
      <c r="C91" s="9">
        <f>IFERROR('Cash Flow Data'!E22,0)</f>
        <v>0</v>
      </c>
      <c r="D91" s="9">
        <f>IFERROR('Cash Flow Data'!F22,0)</f>
        <v>8</v>
      </c>
      <c r="E91" s="9">
        <f>IFERROR('Cash Flow Data'!G22,0)</f>
        <v>0</v>
      </c>
      <c r="F91" s="9">
        <f>IFERROR('Cash Flow Data'!H22,0)</f>
        <v>0</v>
      </c>
      <c r="G91" s="9">
        <f>IFERROR('Cash Flow Data'!I22,0)</f>
        <v>0</v>
      </c>
      <c r="H91" s="9">
        <f>IFERROR('Cash Flow Data'!J22,0)</f>
        <v>0</v>
      </c>
      <c r="I91" s="9">
        <f>IFERROR('Cash Flow Data'!K22,0)</f>
        <v>0</v>
      </c>
      <c r="J91" s="9">
        <f>IFERROR('Cash Flow Data'!L22,0)</f>
        <v>0</v>
      </c>
      <c r="K91" s="9">
        <f>IFERROR('Cash Flow Data'!M22,0)</f>
        <v>0</v>
      </c>
    </row>
    <row r="92" spans="2:11" outlineLevel="1" x14ac:dyDescent="0.3">
      <c r="B92" t="s">
        <v>100</v>
      </c>
      <c r="C92" s="9">
        <f>IFERROR('Cash Flow Data'!E23,0)</f>
        <v>-1835</v>
      </c>
      <c r="D92" s="9">
        <f>IFERROR('Cash Flow Data'!F23,0)</f>
        <v>7</v>
      </c>
      <c r="E92" s="9">
        <f>IFERROR('Cash Flow Data'!G23,0)</f>
        <v>3</v>
      </c>
      <c r="F92" s="9">
        <f>IFERROR('Cash Flow Data'!H23,0)</f>
        <v>-3194</v>
      </c>
      <c r="G92" s="9">
        <f>IFERROR('Cash Flow Data'!I23,0)</f>
        <v>786</v>
      </c>
      <c r="H92" s="9">
        <f>IFERROR('Cash Flow Data'!J23,0)</f>
        <v>1054</v>
      </c>
      <c r="I92" s="9">
        <f>IFERROR('Cash Flow Data'!K23,0)</f>
        <v>42</v>
      </c>
      <c r="J92" s="9">
        <f>IFERROR('Cash Flow Data'!L23,0)</f>
        <v>-131</v>
      </c>
      <c r="K92" s="9">
        <f>IFERROR('Cash Flow Data'!M23,0)</f>
        <v>1004</v>
      </c>
    </row>
    <row r="93" spans="2:11" outlineLevel="1" x14ac:dyDescent="0.3">
      <c r="B93" s="25" t="s">
        <v>116</v>
      </c>
      <c r="C93" s="26">
        <f>IFERROR(SUM(C83:C92),0)</f>
        <v>-2482</v>
      </c>
      <c r="D93" s="26">
        <f t="shared" ref="D93:K93" si="24">IFERROR(SUM(D83:D92),0)</f>
        <v>464</v>
      </c>
      <c r="E93" s="26">
        <f t="shared" si="24"/>
        <v>-960</v>
      </c>
      <c r="F93" s="26">
        <f t="shared" si="24"/>
        <v>-4656</v>
      </c>
      <c r="G93" s="26">
        <f t="shared" si="24"/>
        <v>-1109</v>
      </c>
      <c r="H93" s="26">
        <f t="shared" si="24"/>
        <v>-1288</v>
      </c>
      <c r="I93" s="26">
        <f t="shared" si="24"/>
        <v>-2313</v>
      </c>
      <c r="J93" s="26">
        <f t="shared" si="24"/>
        <v>-2468</v>
      </c>
      <c r="K93" s="26">
        <f t="shared" si="24"/>
        <v>-2184</v>
      </c>
    </row>
    <row r="94" spans="2:11" outlineLevel="1" x14ac:dyDescent="0.3"/>
    <row r="95" spans="2:11" outlineLevel="1" x14ac:dyDescent="0.3">
      <c r="B95" s="2" t="s">
        <v>117</v>
      </c>
    </row>
    <row r="96" spans="2:11" outlineLevel="1" x14ac:dyDescent="0.3">
      <c r="B96" t="s">
        <v>102</v>
      </c>
      <c r="C96" s="9">
        <f>IFERROR('Cash Flow Data'!E25,0)</f>
        <v>1841</v>
      </c>
      <c r="D96" s="9">
        <f>IFERROR('Cash Flow Data'!F25,0)</f>
        <v>0</v>
      </c>
      <c r="E96" s="9">
        <f>IFERROR('Cash Flow Data'!G25,0)</f>
        <v>0</v>
      </c>
      <c r="F96" s="9">
        <f>IFERROR('Cash Flow Data'!H25,0)</f>
        <v>110</v>
      </c>
      <c r="G96" s="9">
        <f>IFERROR('Cash Flow Data'!I25,0)</f>
        <v>0</v>
      </c>
      <c r="H96" s="9">
        <f>IFERROR('Cash Flow Data'!J25,0)</f>
        <v>0</v>
      </c>
      <c r="I96" s="9">
        <f>IFERROR('Cash Flow Data'!K25,0)</f>
        <v>15</v>
      </c>
      <c r="J96" s="9">
        <f>IFERROR('Cash Flow Data'!L25,0)</f>
        <v>75</v>
      </c>
      <c r="K96" s="9">
        <f>IFERROR('Cash Flow Data'!M25,0)</f>
        <v>0</v>
      </c>
    </row>
    <row r="97" spans="2:11" outlineLevel="1" x14ac:dyDescent="0.3">
      <c r="B97" t="s">
        <v>103</v>
      </c>
      <c r="C97" s="9">
        <f>IFERROR('Cash Flow Data'!E26,0)</f>
        <v>250</v>
      </c>
      <c r="D97" s="9">
        <f>IFERROR('Cash Flow Data'!F26,0)</f>
        <v>0</v>
      </c>
      <c r="E97" s="9">
        <f>IFERROR('Cash Flow Data'!G26,0)</f>
        <v>0</v>
      </c>
      <c r="F97" s="9">
        <f>IFERROR('Cash Flow Data'!H26,0)</f>
        <v>300</v>
      </c>
      <c r="G97" s="9">
        <f>IFERROR('Cash Flow Data'!I26,0)</f>
        <v>0</v>
      </c>
      <c r="H97" s="9">
        <f>IFERROR('Cash Flow Data'!J26,0)</f>
        <v>0</v>
      </c>
      <c r="I97" s="9">
        <f>IFERROR('Cash Flow Data'!K26,0)</f>
        <v>0</v>
      </c>
      <c r="J97" s="9">
        <f>IFERROR('Cash Flow Data'!L26,0)</f>
        <v>0</v>
      </c>
      <c r="K97" s="9">
        <f>IFERROR('Cash Flow Data'!M26,0)</f>
        <v>0</v>
      </c>
    </row>
    <row r="98" spans="2:11" outlineLevel="1" x14ac:dyDescent="0.3">
      <c r="B98" t="s">
        <v>124</v>
      </c>
      <c r="C98" s="9">
        <f>IFERROR('Cash Flow Data'!E27,0)</f>
        <v>0</v>
      </c>
      <c r="D98" s="9">
        <f>IFERROR('Cash Flow Data'!F27,0)</f>
        <v>-384</v>
      </c>
      <c r="E98" s="9">
        <f>IFERROR('Cash Flow Data'!G27,0)</f>
        <v>-170</v>
      </c>
      <c r="F98" s="9">
        <f>IFERROR('Cash Flow Data'!H27,0)</f>
        <v>-512</v>
      </c>
      <c r="G98" s="9">
        <f>IFERROR('Cash Flow Data'!I27,0)</f>
        <v>-34</v>
      </c>
      <c r="H98" s="9">
        <f>IFERROR('Cash Flow Data'!J27,0)</f>
        <v>0</v>
      </c>
      <c r="I98" s="9">
        <f>IFERROR('Cash Flow Data'!K27,0)</f>
        <v>0</v>
      </c>
      <c r="J98" s="9">
        <f>IFERROR('Cash Flow Data'!L27,0)</f>
        <v>0</v>
      </c>
      <c r="K98" s="9">
        <f>IFERROR('Cash Flow Data'!M27,0)</f>
        <v>0</v>
      </c>
    </row>
    <row r="99" spans="2:11" outlineLevel="1" x14ac:dyDescent="0.3">
      <c r="B99" t="s">
        <v>104</v>
      </c>
      <c r="C99" s="9">
        <f>IFERROR('Cash Flow Data'!E28,0)</f>
        <v>260</v>
      </c>
      <c r="D99" s="9">
        <f>IFERROR('Cash Flow Data'!F28,0)</f>
        <v>0</v>
      </c>
      <c r="E99" s="9">
        <f>IFERROR('Cash Flow Data'!G28,0)</f>
        <v>992</v>
      </c>
      <c r="F99" s="9">
        <f>IFERROR('Cash Flow Data'!H28,0)</f>
        <v>1100</v>
      </c>
      <c r="G99" s="9">
        <f>IFERROR('Cash Flow Data'!I28,0)</f>
        <v>200</v>
      </c>
      <c r="H99" s="9">
        <f>IFERROR('Cash Flow Data'!J28,0)</f>
        <v>248</v>
      </c>
      <c r="I99" s="9">
        <f>IFERROR('Cash Flow Data'!K28,0)</f>
        <v>0</v>
      </c>
      <c r="J99" s="9">
        <f>IFERROR('Cash Flow Data'!L28,0)</f>
        <v>0</v>
      </c>
      <c r="K99" s="9">
        <f>IFERROR('Cash Flow Data'!M28,0)</f>
        <v>0</v>
      </c>
    </row>
    <row r="100" spans="2:11" outlineLevel="1" x14ac:dyDescent="0.3">
      <c r="B100" t="s">
        <v>105</v>
      </c>
      <c r="C100" s="9">
        <f>IFERROR('Cash Flow Data'!E29,0)</f>
        <v>-155</v>
      </c>
      <c r="D100" s="9">
        <f>IFERROR('Cash Flow Data'!F29,0)</f>
        <v>-695</v>
      </c>
      <c r="E100" s="9">
        <f>IFERROR('Cash Flow Data'!G29,0)</f>
        <v>-562</v>
      </c>
      <c r="F100" s="9">
        <f>IFERROR('Cash Flow Data'!H29,0)</f>
        <v>-1550</v>
      </c>
      <c r="G100" s="9">
        <f>IFERROR('Cash Flow Data'!I29,0)</f>
        <v>-204</v>
      </c>
      <c r="H100" s="9">
        <f>IFERROR('Cash Flow Data'!J29,0)</f>
        <v>-248</v>
      </c>
      <c r="I100" s="9">
        <f>IFERROR('Cash Flow Data'!K29,0)</f>
        <v>0</v>
      </c>
      <c r="J100" s="9">
        <f>IFERROR('Cash Flow Data'!L29,0)</f>
        <v>0</v>
      </c>
      <c r="K100" s="9">
        <f>IFERROR('Cash Flow Data'!M29,0)</f>
        <v>0</v>
      </c>
    </row>
    <row r="101" spans="2:11" outlineLevel="1" x14ac:dyDescent="0.3">
      <c r="B101" t="s">
        <v>106</v>
      </c>
      <c r="C101" s="9">
        <f>IFERROR('Cash Flow Data'!E30,0)</f>
        <v>-120</v>
      </c>
      <c r="D101" s="9">
        <f>IFERROR('Cash Flow Data'!F30,0)</f>
        <v>-80</v>
      </c>
      <c r="E101" s="9">
        <f>IFERROR('Cash Flow Data'!G30,0)</f>
        <v>-51</v>
      </c>
      <c r="F101" s="9">
        <f>IFERROR('Cash Flow Data'!H30,0)</f>
        <v>-68</v>
      </c>
      <c r="G101" s="9">
        <f>IFERROR('Cash Flow Data'!I30,0)</f>
        <v>-44</v>
      </c>
      <c r="H101" s="9">
        <f>IFERROR('Cash Flow Data'!J30,0)</f>
        <v>-54</v>
      </c>
      <c r="I101" s="9">
        <f>IFERROR('Cash Flow Data'!K30,0)</f>
        <v>-67</v>
      </c>
      <c r="J101" s="9">
        <f>IFERROR('Cash Flow Data'!L30,0)</f>
        <v>-58</v>
      </c>
      <c r="K101" s="9">
        <f>IFERROR('Cash Flow Data'!M30,0)</f>
        <v>-69</v>
      </c>
    </row>
    <row r="102" spans="2:11" outlineLevel="1" x14ac:dyDescent="0.3">
      <c r="B102" t="s">
        <v>107</v>
      </c>
      <c r="C102" s="9">
        <f>IFERROR('Cash Flow Data'!E31,0)</f>
        <v>0</v>
      </c>
      <c r="D102" s="9">
        <f>IFERROR('Cash Flow Data'!F31,0)</f>
        <v>0</v>
      </c>
      <c r="E102" s="9">
        <f>IFERROR('Cash Flow Data'!G31,0)</f>
        <v>0</v>
      </c>
      <c r="F102" s="9">
        <f>IFERROR('Cash Flow Data'!H31,0)</f>
        <v>-100</v>
      </c>
      <c r="G102" s="9">
        <f>IFERROR('Cash Flow Data'!I31,0)</f>
        <v>-98</v>
      </c>
      <c r="H102" s="9">
        <f>IFERROR('Cash Flow Data'!J31,0)</f>
        <v>-125</v>
      </c>
      <c r="I102" s="9">
        <f>IFERROR('Cash Flow Data'!K31,0)</f>
        <v>-153</v>
      </c>
      <c r="J102" s="9">
        <f>IFERROR('Cash Flow Data'!L31,0)</f>
        <v>-164</v>
      </c>
      <c r="K102" s="9">
        <f>IFERROR('Cash Flow Data'!M31,0)</f>
        <v>-190</v>
      </c>
    </row>
    <row r="103" spans="2:11" outlineLevel="1" x14ac:dyDescent="0.3">
      <c r="B103" t="s">
        <v>108</v>
      </c>
      <c r="C103" s="9">
        <f>IFERROR('Cash Flow Data'!E32,0)</f>
        <v>0</v>
      </c>
      <c r="D103" s="9">
        <f>IFERROR('Cash Flow Data'!F32,0)</f>
        <v>0</v>
      </c>
      <c r="E103" s="9">
        <f>IFERROR('Cash Flow Data'!G32,0)</f>
        <v>0</v>
      </c>
      <c r="F103" s="9">
        <f>IFERROR('Cash Flow Data'!H32,0)</f>
        <v>0</v>
      </c>
      <c r="G103" s="9">
        <f>IFERROR('Cash Flow Data'!I32,0)</f>
        <v>0</v>
      </c>
      <c r="H103" s="9">
        <f>IFERROR('Cash Flow Data'!J32,0)</f>
        <v>0</v>
      </c>
      <c r="I103" s="9">
        <f>IFERROR('Cash Flow Data'!K32,0)</f>
        <v>1</v>
      </c>
      <c r="J103" s="9">
        <f>IFERROR('Cash Flow Data'!L32,0)</f>
        <v>0</v>
      </c>
      <c r="K103" s="9">
        <f>IFERROR('Cash Flow Data'!M32,0)</f>
        <v>0</v>
      </c>
    </row>
    <row r="104" spans="2:11" outlineLevel="1" x14ac:dyDescent="0.3">
      <c r="B104" t="s">
        <v>109</v>
      </c>
      <c r="C104" s="9">
        <f>IFERROR('Cash Flow Data'!E33,0)</f>
        <v>-50</v>
      </c>
      <c r="D104" s="9">
        <f>IFERROR('Cash Flow Data'!F33,0)</f>
        <v>0</v>
      </c>
      <c r="E104" s="9">
        <f>IFERROR('Cash Flow Data'!G33,0)</f>
        <v>0</v>
      </c>
      <c r="F104" s="9">
        <f>IFERROR('Cash Flow Data'!H33,0)</f>
        <v>4077</v>
      </c>
      <c r="G104" s="9">
        <f>IFERROR('Cash Flow Data'!I33,0)</f>
        <v>0</v>
      </c>
      <c r="H104" s="9">
        <f>IFERROR('Cash Flow Data'!J33,0)</f>
        <v>0</v>
      </c>
      <c r="I104" s="9">
        <f>IFERROR('Cash Flow Data'!K33,0)</f>
        <v>0</v>
      </c>
      <c r="J104" s="9">
        <f>IFERROR('Cash Flow Data'!L33,0)</f>
        <v>0</v>
      </c>
      <c r="K104" s="9">
        <f>IFERROR('Cash Flow Data'!M33,0)</f>
        <v>0</v>
      </c>
    </row>
    <row r="105" spans="2:11" outlineLevel="1" x14ac:dyDescent="0.3">
      <c r="B105" s="25" t="s">
        <v>116</v>
      </c>
      <c r="C105" s="26">
        <f>IFERROR(SUM(C96:C104),0)</f>
        <v>2026</v>
      </c>
      <c r="D105" s="26">
        <f t="shared" ref="D105:K105" si="25">IFERROR(SUM(D96:D104),0)</f>
        <v>-1159</v>
      </c>
      <c r="E105" s="26">
        <f t="shared" si="25"/>
        <v>209</v>
      </c>
      <c r="F105" s="26">
        <f t="shared" si="25"/>
        <v>3357</v>
      </c>
      <c r="G105" s="26">
        <f t="shared" si="25"/>
        <v>-180</v>
      </c>
      <c r="H105" s="26">
        <f t="shared" si="25"/>
        <v>-179</v>
      </c>
      <c r="I105" s="26">
        <f t="shared" si="25"/>
        <v>-204</v>
      </c>
      <c r="J105" s="26">
        <f t="shared" si="25"/>
        <v>-147</v>
      </c>
      <c r="K105" s="26">
        <f t="shared" si="25"/>
        <v>-259</v>
      </c>
    </row>
    <row r="106" spans="2:11" outlineLevel="1" x14ac:dyDescent="0.3"/>
    <row r="107" spans="2:11" outlineLevel="1" x14ac:dyDescent="0.3">
      <c r="B107" s="25" t="s">
        <v>21</v>
      </c>
      <c r="C107" s="26">
        <f>SUM(C105,C93,C80)</f>
        <v>0</v>
      </c>
      <c r="D107" s="26">
        <f t="shared" ref="D107:K107" si="26">SUM(D105,D93,D80)</f>
        <v>34</v>
      </c>
      <c r="E107" s="26">
        <f t="shared" si="26"/>
        <v>55</v>
      </c>
      <c r="F107" s="26">
        <f t="shared" si="26"/>
        <v>-18</v>
      </c>
      <c r="G107" s="26">
        <f t="shared" si="26"/>
        <v>86</v>
      </c>
      <c r="H107" s="26">
        <f t="shared" si="26"/>
        <v>-94</v>
      </c>
      <c r="I107" s="26">
        <f t="shared" si="26"/>
        <v>113</v>
      </c>
      <c r="J107" s="26">
        <f t="shared" si="26"/>
        <v>130</v>
      </c>
      <c r="K107" s="26">
        <f t="shared" si="26"/>
        <v>20</v>
      </c>
    </row>
    <row r="109" spans="2:11" x14ac:dyDescent="0.3">
      <c r="B109" s="130" t="s">
        <v>314</v>
      </c>
      <c r="C109" s="127"/>
      <c r="D109" s="127"/>
      <c r="E109" s="127"/>
      <c r="F109" s="127"/>
      <c r="G109" s="127"/>
      <c r="H109" s="127"/>
      <c r="I109" s="127"/>
    </row>
  </sheetData>
  <mergeCells count="1">
    <mergeCell ref="B2:K2"/>
  </mergeCells>
  <pageMargins left="0.7" right="0.7" top="0.75" bottom="0.75" header="0.3" footer="0.3"/>
  <ignoredErrors>
    <ignoredError sqref="C15 D15:K1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5827-CF79-4595-8612-8110DE2753B9}">
  <dimension ref="A2:M39"/>
  <sheetViews>
    <sheetView showGridLines="0" workbookViewId="0">
      <selection activeCell="B2" sqref="B2:M3"/>
    </sheetView>
  </sheetViews>
  <sheetFormatPr defaultRowHeight="14.4" outlineLevelRow="1" x14ac:dyDescent="0.3"/>
  <cols>
    <col min="1" max="1" width="1.88671875" customWidth="1"/>
    <col min="2" max="2" width="24.5546875" bestFit="1" customWidth="1"/>
    <col min="3" max="3" width="10" bestFit="1" customWidth="1"/>
  </cols>
  <sheetData>
    <row r="2" spans="1:13" x14ac:dyDescent="0.3">
      <c r="B2" s="197" t="str">
        <f>"Common Size Statement - "&amp;'Data Sheet'!B1</f>
        <v>Common Size Statement - HINDUSTAN UNILEVER LTD</v>
      </c>
      <c r="C2" s="197"/>
      <c r="D2" s="197"/>
      <c r="E2" s="197"/>
      <c r="F2" s="197"/>
      <c r="G2" s="197"/>
      <c r="H2" s="197"/>
      <c r="I2" s="197"/>
      <c r="J2" s="197"/>
      <c r="K2" s="197"/>
      <c r="L2" s="197"/>
      <c r="M2" s="197"/>
    </row>
    <row r="3" spans="1:13" x14ac:dyDescent="0.3">
      <c r="B3" s="40" t="s">
        <v>55</v>
      </c>
      <c r="C3" s="101">
        <f>'Data Sheet'!B16</f>
        <v>42825</v>
      </c>
      <c r="D3" s="101">
        <f>'Data Sheet'!C16</f>
        <v>43190</v>
      </c>
      <c r="E3" s="101">
        <f>'Data Sheet'!D16</f>
        <v>43555</v>
      </c>
      <c r="F3" s="101">
        <f>'Data Sheet'!E16</f>
        <v>43921</v>
      </c>
      <c r="G3" s="101">
        <f>'Data Sheet'!F16</f>
        <v>44286</v>
      </c>
      <c r="H3" s="101">
        <f>'Data Sheet'!G16</f>
        <v>44651</v>
      </c>
      <c r="I3" s="101">
        <f>'Data Sheet'!H16</f>
        <v>45016</v>
      </c>
      <c r="J3" s="101">
        <f>'Data Sheet'!I16</f>
        <v>45382</v>
      </c>
      <c r="K3" s="101">
        <f>'Data Sheet'!J16</f>
        <v>45747</v>
      </c>
      <c r="L3" s="101" t="e">
        <f>'Data Sheet'!#REF!</f>
        <v>#REF!</v>
      </c>
      <c r="M3" s="139" t="s">
        <v>56</v>
      </c>
    </row>
    <row r="5" spans="1:13" x14ac:dyDescent="0.3">
      <c r="A5" s="2" t="s">
        <v>164</v>
      </c>
      <c r="B5" s="16" t="s">
        <v>58</v>
      </c>
      <c r="C5" s="17"/>
      <c r="D5" s="17"/>
      <c r="E5" s="17"/>
      <c r="F5" s="17"/>
      <c r="G5" s="17"/>
      <c r="H5" s="17"/>
      <c r="I5" s="17"/>
      <c r="J5" s="17"/>
      <c r="K5" s="17"/>
      <c r="L5" s="17"/>
      <c r="M5" s="17"/>
    </row>
    <row r="6" spans="1:13" hidden="1" outlineLevel="1" x14ac:dyDescent="0.3">
      <c r="B6" s="2" t="s">
        <v>1</v>
      </c>
      <c r="C6" s="51">
        <f>IFERROR(HistoricalFS!C6/HistoricalFS!C6,0)</f>
        <v>1</v>
      </c>
      <c r="D6" s="51">
        <f>IFERROR(HistoricalFS!D6/HistoricalFS!D6,0)</f>
        <v>1</v>
      </c>
      <c r="E6" s="51">
        <f>IFERROR(HistoricalFS!E6/HistoricalFS!E6,0)</f>
        <v>1</v>
      </c>
      <c r="F6" s="51">
        <f>IFERROR(HistoricalFS!F6/HistoricalFS!F6,0)</f>
        <v>1</v>
      </c>
      <c r="G6" s="51">
        <f>IFERROR(HistoricalFS!G6/HistoricalFS!G6,0)</f>
        <v>1</v>
      </c>
      <c r="H6" s="51">
        <f>IFERROR(HistoricalFS!H6/HistoricalFS!H6,0)</f>
        <v>1</v>
      </c>
      <c r="I6" s="51">
        <f>IFERROR(HistoricalFS!I6/HistoricalFS!I6,0)</f>
        <v>1</v>
      </c>
      <c r="J6" s="51">
        <f>IFERROR(HistoricalFS!J6/HistoricalFS!J6,0)</f>
        <v>1</v>
      </c>
      <c r="K6" s="51">
        <f>IFERROR(HistoricalFS!K6/HistoricalFS!K6,0)</f>
        <v>1</v>
      </c>
      <c r="L6" s="51">
        <f>IFERROR(HistoricalFS!#REF!/HistoricalFS!#REF!,0)</f>
        <v>0</v>
      </c>
      <c r="M6" s="51">
        <f>IFERROR(HistoricalFS!#REF!/HistoricalFS!#REF!,0)</f>
        <v>0</v>
      </c>
    </row>
    <row r="7" spans="1:13" hidden="1" outlineLevel="1" x14ac:dyDescent="0.3">
      <c r="B7" t="s">
        <v>60</v>
      </c>
      <c r="C7" s="35">
        <f>IFERROR(HistoricalFS!C10,0)</f>
        <v>0.5631445630540981</v>
      </c>
      <c r="D7" s="35">
        <f>IFERROR(HistoricalFS!D10,0)</f>
        <v>0.54336756224504146</v>
      </c>
      <c r="E7" s="35">
        <f>IFERROR(HistoricalFS!E10,0)</f>
        <v>0.53627575680488426</v>
      </c>
      <c r="F7" s="35">
        <f>IFERROR(HistoricalFS!F10,0)</f>
        <v>0.51816102355277383</v>
      </c>
      <c r="G7" s="35">
        <f>IFERROR(HistoricalFS!G10,0)</f>
        <v>0.53799863910861612</v>
      </c>
      <c r="H7" s="35">
        <f>IFERROR(HistoricalFS!H10,0)</f>
        <v>0.55420813789421497</v>
      </c>
      <c r="I7" s="35">
        <f>IFERROR(HistoricalFS!I10,0)</f>
        <v>0.58403763618355897</v>
      </c>
      <c r="J7" s="35">
        <f>IFERROR(HistoricalFS!J10,0)</f>
        <v>0.54367002714230317</v>
      </c>
      <c r="K7" s="35">
        <f>IFERROR(HistoricalFS!K10,0)</f>
        <v>0.54702872261212587</v>
      </c>
      <c r="L7" s="35">
        <f>IFERROR(HistoricalFS!#REF!,0)</f>
        <v>0</v>
      </c>
      <c r="M7" s="35">
        <f>IFERROR(HistoricalFS!#REF!,0)</f>
        <v>0</v>
      </c>
    </row>
    <row r="8" spans="1:13" hidden="1" outlineLevel="1" x14ac:dyDescent="0.3">
      <c r="B8" s="25" t="s">
        <v>62</v>
      </c>
      <c r="C8" s="36">
        <f>IFERROR(HistoricalFS!C12/HistoricalFS!C6,0)</f>
        <v>0.43685543694590195</v>
      </c>
      <c r="D8" s="36">
        <f>IFERROR(HistoricalFS!D12/HistoricalFS!D6,0)</f>
        <v>0.45663243775495849</v>
      </c>
      <c r="E8" s="36">
        <f>IFERROR(HistoricalFS!E12/HistoricalFS!E6,0)</f>
        <v>0.46372424319511574</v>
      </c>
      <c r="F8" s="36">
        <f>IFERROR(HistoricalFS!F12/HistoricalFS!F6,0)</f>
        <v>0.48183897644722617</v>
      </c>
      <c r="G8" s="36">
        <f>IFERROR(HistoricalFS!G12/HistoricalFS!G6,0)</f>
        <v>0.46200136089138388</v>
      </c>
      <c r="H8" s="36">
        <f>IFERROR(HistoricalFS!H12/HistoricalFS!H6,0)</f>
        <v>0.44579186210578498</v>
      </c>
      <c r="I8" s="36">
        <f>IFERROR(HistoricalFS!I12/HistoricalFS!I6,0)</f>
        <v>0.41596236381644108</v>
      </c>
      <c r="J8" s="36">
        <f>IFERROR(HistoricalFS!J12/HistoricalFS!J6,0)</f>
        <v>0.45632997285769678</v>
      </c>
      <c r="K8" s="36">
        <f>IFERROR(HistoricalFS!K12/HistoricalFS!K6,0)</f>
        <v>0.45297127738787407</v>
      </c>
      <c r="L8" s="36">
        <f>IFERROR(HistoricalFS!#REF!/HistoricalFS!#REF!,0)</f>
        <v>0</v>
      </c>
      <c r="M8" s="36">
        <f>IFERROR(HistoricalFS!#REF!/HistoricalFS!#REF!,0)</f>
        <v>0</v>
      </c>
    </row>
    <row r="9" spans="1:13" hidden="1" outlineLevel="1" x14ac:dyDescent="0.3">
      <c r="B9" t="s">
        <v>168</v>
      </c>
      <c r="C9" s="35">
        <f>IFERROR(HistoricalFS!C16,0)</f>
        <v>0.43689424364123158</v>
      </c>
      <c r="D9" s="35">
        <f>IFERROR(HistoricalFS!D16,0)</f>
        <v>0.45210727969348657</v>
      </c>
      <c r="E9" s="35">
        <f>IFERROR(HistoricalFS!E16,0)</f>
        <v>0.4434799108201698</v>
      </c>
      <c r="F9" s="35">
        <f>IFERROR(HistoricalFS!F16,0)</f>
        <v>0.45153778985155718</v>
      </c>
      <c r="G9" s="35">
        <f>IFERROR(HistoricalFS!G16,0)</f>
        <v>0.39923323188806764</v>
      </c>
      <c r="H9" s="35">
        <f>IFERROR(HistoricalFS!H16,0)</f>
        <v>0.36203812014037018</v>
      </c>
      <c r="I9" s="35">
        <f>IFERROR(HistoricalFS!I16,0)</f>
        <v>0.31237104660693593</v>
      </c>
      <c r="J9" s="35">
        <f>IFERROR(HistoricalFS!J16,0)</f>
        <v>0.40373242994264658</v>
      </c>
      <c r="K9" s="35">
        <f>IFERROR(HistoricalFS!K16,0)</f>
        <v>0.39818703119117266</v>
      </c>
      <c r="L9" s="35">
        <f>IFERROR(HistoricalFS!#REF!,0)</f>
        <v>0</v>
      </c>
      <c r="M9" s="35">
        <f>IFERROR(HistoricalFS!#REF!,0)</f>
        <v>0</v>
      </c>
    </row>
    <row r="10" spans="1:13" hidden="1" outlineLevel="1" x14ac:dyDescent="0.3">
      <c r="B10" s="25" t="s">
        <v>66</v>
      </c>
      <c r="C10" s="36">
        <f>IFERROR(HistoricalFS!C19,0)</f>
        <v>0.1908208190097099</v>
      </c>
      <c r="D10" s="36">
        <f>IFERROR(HistoricalFS!D19,0)</f>
        <v>0.21097200731467156</v>
      </c>
      <c r="E10" s="36">
        <f>IFERROR(HistoricalFS!E19,0)</f>
        <v>0.2258967183922666</v>
      </c>
      <c r="F10" s="36">
        <f>IFERROR(HistoricalFS!F19,0)</f>
        <v>0.24786969308498605</v>
      </c>
      <c r="G10" s="36">
        <f>IFERROR(HistoricalFS!G19,0)</f>
        <v>0.24721442544866887</v>
      </c>
      <c r="H10" s="36">
        <f>IFERROR(HistoricalFS!H19,0)</f>
        <v>0.24514738969606834</v>
      </c>
      <c r="I10" s="36">
        <f>IFERROR(HistoricalFS!I19,0)</f>
        <v>0.23352591614394189</v>
      </c>
      <c r="J10" s="36">
        <f>IFERROR(HistoricalFS!J19,0)</f>
        <v>0.23683275171255008</v>
      </c>
      <c r="K10" s="36">
        <f>IFERROR(HistoricalFS!K19,0)</f>
        <v>0.23515153435465216</v>
      </c>
      <c r="L10" s="36">
        <f>IFERROR(HistoricalFS!#REF!,0)</f>
        <v>0</v>
      </c>
      <c r="M10" s="36">
        <f>IFERROR(HistoricalFS!#REF!,0)</f>
        <v>0</v>
      </c>
    </row>
    <row r="11" spans="1:13" hidden="1" outlineLevel="1" x14ac:dyDescent="0.3">
      <c r="B11" t="s">
        <v>169</v>
      </c>
      <c r="C11" s="35">
        <f>IFERROR(HistoricalFS!C22,0)</f>
        <v>1.3026958567034558E-2</v>
      </c>
      <c r="D11" s="35">
        <f>IFERROR(HistoricalFS!D22,0)</f>
        <v>1.4629343086228723E-2</v>
      </c>
      <c r="E11" s="35">
        <f>IFERROR(HistoricalFS!E22,0)</f>
        <v>1.437293309590435E-2</v>
      </c>
      <c r="F11" s="35">
        <f>IFERROR(HistoricalFS!F22,0)</f>
        <v>2.5186637508483524E-2</v>
      </c>
      <c r="G11" s="35">
        <f>IFERROR(HistoricalFS!G22,0)</f>
        <v>2.2837458535340648E-2</v>
      </c>
      <c r="H11" s="35">
        <f>IFERROR(HistoricalFS!H22,0)</f>
        <v>2.0802349082866187E-2</v>
      </c>
      <c r="I11" s="35">
        <f>IFERROR(HistoricalFS!I22,0)</f>
        <v>1.8768570485308684E-2</v>
      </c>
      <c r="J11" s="35">
        <f>IFERROR(HistoricalFS!J22,0)</f>
        <v>1.9645857567532635E-2</v>
      </c>
      <c r="K11" s="35">
        <f>IFERROR(HistoricalFS!K22,0)</f>
        <v>2.1466706801223048E-2</v>
      </c>
      <c r="L11" s="35">
        <f>IFERROR(HistoricalFS!#REF!,0)</f>
        <v>0</v>
      </c>
      <c r="M11" s="35">
        <f>IFERROR(HistoricalFS!#REF!,0)</f>
        <v>0</v>
      </c>
    </row>
    <row r="12" spans="1:13" hidden="1" outlineLevel="1" x14ac:dyDescent="0.3">
      <c r="B12" s="25" t="s">
        <v>165</v>
      </c>
      <c r="C12" s="36">
        <f>IFERROR((HistoricalFS!C30+HistoricalFS!C27)/HistoricalFS!C6,0)</f>
        <v>0.17779386044267534</v>
      </c>
      <c r="D12" s="36">
        <f>IFERROR((HistoricalFS!D30+HistoricalFS!D27)/HistoricalFS!D6,0)</f>
        <v>0.19634266422844282</v>
      </c>
      <c r="E12" s="36">
        <f>IFERROR((HistoricalFS!E30+HistoricalFS!E27)/HistoricalFS!E6,0)</f>
        <v>0.21152378529636226</v>
      </c>
      <c r="F12" s="36">
        <f>IFERROR((HistoricalFS!F30+HistoricalFS!F27)/HistoricalFS!F6,0)</f>
        <v>0.22268305557650253</v>
      </c>
      <c r="G12" s="36">
        <f>IFERROR((HistoricalFS!G30+HistoricalFS!G27)/HistoricalFS!G6,0)</f>
        <v>0.22437696691332823</v>
      </c>
      <c r="H12" s="36">
        <f>IFERROR((HistoricalFS!H30+HistoricalFS!H27)/HistoricalFS!H6,0)</f>
        <v>0.22434504061320215</v>
      </c>
      <c r="I12" s="36">
        <f>IFERROR((HistoricalFS!I30+HistoricalFS!I27)/HistoricalFS!I6,0)</f>
        <v>0.21475734565863322</v>
      </c>
      <c r="J12" s="36">
        <f>IFERROR((HistoricalFS!J30+HistoricalFS!J27)/HistoricalFS!J6,0)</f>
        <v>0.21718689414501746</v>
      </c>
      <c r="K12" s="36">
        <f>IFERROR((HistoricalFS!K30+HistoricalFS!K27)/HistoricalFS!K6,0)</f>
        <v>0.21368482755342913</v>
      </c>
      <c r="L12" s="36">
        <f>IFERROR((HistoricalFS!#REF!+HistoricalFS!#REF!)/HistoricalFS!#REF!,0)</f>
        <v>0</v>
      </c>
      <c r="M12" s="36">
        <f>IFERROR((HistoricalFS!#REF!+HistoricalFS!#REF!)/HistoricalFS!#REF!,0)</f>
        <v>0</v>
      </c>
    </row>
    <row r="13" spans="1:13" hidden="1" outlineLevel="1" x14ac:dyDescent="0.3">
      <c r="B13" t="s">
        <v>6</v>
      </c>
      <c r="C13" s="35">
        <f>IFERROR(HistoricalFS!C28,0)</f>
        <v>1.0554248839032628E-3</v>
      </c>
      <c r="D13" s="35">
        <f>IFERROR(HistoricalFS!D28,0)</f>
        <v>7.3146715431143621E-4</v>
      </c>
      <c r="E13" s="35">
        <f>IFERROR(HistoricalFS!E28,0)</f>
        <v>8.3948104807936915E-4</v>
      </c>
      <c r="F13" s="35">
        <f>IFERROR(HistoricalFS!F28,0)</f>
        <v>2.9660910439132291E-3</v>
      </c>
      <c r="G13" s="35">
        <f>IFERROR(HistoricalFS!G28,0)</f>
        <v>2.4878795611125285E-3</v>
      </c>
      <c r="H13" s="35">
        <f>IFERROR(HistoricalFS!H28,0)</f>
        <v>2.0211264920108303E-3</v>
      </c>
      <c r="I13" s="35">
        <f>IFERROR(HistoricalFS!I28,0)</f>
        <v>1.881809177946517E-3</v>
      </c>
      <c r="J13" s="35">
        <f>IFERROR(HistoricalFS!J28,0)</f>
        <v>5.3961483779242604E-3</v>
      </c>
      <c r="K13" s="35">
        <f>IFERROR(HistoricalFS!K28,0)</f>
        <v>6.2578222778473091E-3</v>
      </c>
      <c r="L13" s="35">
        <f>IFERROR(HistoricalFS!#REF!,0)</f>
        <v>0</v>
      </c>
      <c r="M13" s="35">
        <f>IFERROR(HistoricalFS!#REF!,0)</f>
        <v>0</v>
      </c>
    </row>
    <row r="14" spans="1:13" hidden="1" outlineLevel="1" x14ac:dyDescent="0.3">
      <c r="B14" s="25" t="s">
        <v>70</v>
      </c>
      <c r="C14" s="36">
        <f>IFERROR(HistoricalFS!C31,0)</f>
        <v>0.17673843555877208</v>
      </c>
      <c r="D14" s="36">
        <f>IFERROR(HistoricalFS!D31,0)</f>
        <v>0.19561119707413138</v>
      </c>
      <c r="E14" s="36">
        <f>IFERROR(HistoricalFS!E31,0)</f>
        <v>0.21068430424828288</v>
      </c>
      <c r="F14" s="36">
        <f>IFERROR(HistoricalFS!F31,0)</f>
        <v>0.21971696453258929</v>
      </c>
      <c r="G14" s="36">
        <f>IFERROR(HistoricalFS!G31,0)</f>
        <v>0.22188908735221571</v>
      </c>
      <c r="H14" s="36">
        <f>IFERROR(HistoricalFS!H31,0)</f>
        <v>0.22232391412119132</v>
      </c>
      <c r="I14" s="36">
        <f>IFERROR(HistoricalFS!I31,0)</f>
        <v>0.21287553648068669</v>
      </c>
      <c r="J14" s="36">
        <f>IFERROR(HistoricalFS!J31,0)</f>
        <v>0.2117907457670932</v>
      </c>
      <c r="K14" s="36">
        <f>IFERROR(HistoricalFS!K31,0)</f>
        <v>0.20742700527558183</v>
      </c>
      <c r="L14" s="36">
        <f>IFERROR(HistoricalFS!#REF!,0)</f>
        <v>0</v>
      </c>
      <c r="M14" s="36">
        <f>IFERROR(HistoricalFS!#REF!,0)</f>
        <v>0</v>
      </c>
    </row>
    <row r="15" spans="1:13" hidden="1" outlineLevel="1" x14ac:dyDescent="0.3">
      <c r="B15" t="s">
        <v>8</v>
      </c>
      <c r="C15" s="35">
        <f>IFERROR(HistoricalFS!C33/HistoricalFS!C9,0)</f>
        <v>0.10586345381526105</v>
      </c>
      <c r="D15" s="35">
        <f>IFERROR(HistoricalFS!D33/HistoricalFS!D9,0)</f>
        <v>0.10764212488350419</v>
      </c>
      <c r="E15" s="35">
        <f>IFERROR(HistoricalFS!E33/HistoricalFS!E9,0)</f>
        <v>0.12067738722072008</v>
      </c>
      <c r="F15" s="35">
        <f>IFERROR(HistoricalFS!F33/HistoricalFS!F9,0)</f>
        <v>0.11686232657417289</v>
      </c>
      <c r="G15" s="35">
        <f>IFERROR(HistoricalFS!G33/HistoricalFS!G9,0)</f>
        <v>0.10299988142761156</v>
      </c>
      <c r="H15" s="35">
        <f>IFERROR(HistoricalFS!H33/HistoricalFS!H9,0)</f>
        <v>0.10276611848895617</v>
      </c>
      <c r="I15" s="35">
        <f>IFERROR(HistoricalFS!I33/HistoricalFS!I9,0)</f>
        <v>9.0472287385885086E-2</v>
      </c>
      <c r="J15" s="35">
        <f>IFERROR(HistoricalFS!J33/HistoricalFS!J9,0)</f>
        <v>0.10828801521500105</v>
      </c>
      <c r="K15" s="35">
        <f>IFERROR(HistoricalFS!K33/HistoricalFS!K9,0)</f>
        <v>0.10843059457267804</v>
      </c>
      <c r="L15" s="35">
        <f>IFERROR(HistoricalFS!#REF!/HistoricalFS!#REF!,0)</f>
        <v>0</v>
      </c>
      <c r="M15" s="35">
        <f>IFERROR(HistoricalFS!#REF!/HistoricalFS!#REF!,0)</f>
        <v>0</v>
      </c>
    </row>
    <row r="16" spans="1:13" ht="15" hidden="1" outlineLevel="1" thickBot="1" x14ac:dyDescent="0.35">
      <c r="B16" s="37" t="s">
        <v>73</v>
      </c>
      <c r="C16" s="38">
        <f>IFERROR(HistoricalFS!C36/HistoricalFS!C6,0)</f>
        <v>0.11712200711657922</v>
      </c>
      <c r="D16" s="38">
        <f>IFERROR(HistoricalFS!D36/HistoricalFS!D6,0)</f>
        <v>0.1371219580813054</v>
      </c>
      <c r="E16" s="38">
        <f>IFERROR(HistoricalFS!E36/HistoricalFS!E6,0)</f>
        <v>0.14596794708725516</v>
      </c>
      <c r="F16" s="38">
        <f>IFERROR(HistoricalFS!F36/HistoricalFS!F6,0)</f>
        <v>0.15916346178015736</v>
      </c>
      <c r="G16" s="38">
        <f>IFERROR(HistoricalFS!G36/HistoricalFS!G6,0)</f>
        <v>0.16647529131581185</v>
      </c>
      <c r="H16" s="38">
        <f>IFERROR(HistoricalFS!H36/HistoricalFS!H6,0)</f>
        <v>0.16537009495481067</v>
      </c>
      <c r="I16" s="38">
        <f>IFERROR(HistoricalFS!I36/HistoricalFS!I6,0)</f>
        <v>0.16003631561571477</v>
      </c>
      <c r="J16" s="38">
        <f>IFERROR(HistoricalFS!J36/HistoricalFS!J6,0)</f>
        <v>0.15291779759596744</v>
      </c>
      <c r="K16" s="38">
        <f>IFERROR(HistoricalFS!K36/HistoricalFS!K6,0)</f>
        <v>0.14811235563441644</v>
      </c>
      <c r="L16" s="38">
        <f>IFERROR(HistoricalFS!#REF!/HistoricalFS!#REF!,0)</f>
        <v>0</v>
      </c>
      <c r="M16" s="38">
        <f>IFERROR(HistoricalFS!#REF!/HistoricalFS!#REF!,0)</f>
        <v>0</v>
      </c>
    </row>
    <row r="17" spans="1:13" collapsed="1" x14ac:dyDescent="0.3"/>
    <row r="19" spans="1:13" x14ac:dyDescent="0.3">
      <c r="A19" s="2" t="s">
        <v>57</v>
      </c>
      <c r="B19" s="16" t="s">
        <v>81</v>
      </c>
      <c r="C19" s="17"/>
      <c r="D19" s="17"/>
      <c r="E19" s="17"/>
      <c r="F19" s="17"/>
      <c r="G19" s="17"/>
      <c r="H19" s="17"/>
      <c r="I19" s="17"/>
      <c r="J19" s="17"/>
      <c r="K19" s="17"/>
      <c r="L19" s="17"/>
      <c r="M19" s="17"/>
    </row>
    <row r="20" spans="1:13" hidden="1" outlineLevel="1" x14ac:dyDescent="0.3">
      <c r="B20" t="s">
        <v>11</v>
      </c>
      <c r="C20" s="35">
        <f>IFERROR(HistoricalFS!C50/HistoricalFS!C$54,0)</f>
        <v>1.3752705972239909E-2</v>
      </c>
      <c r="D20" s="35">
        <f>IFERROR(HistoricalFS!D50/HistoricalFS!D$54,0)</f>
        <v>1.2092710782667115E-2</v>
      </c>
      <c r="E20" s="35">
        <f>IFERROR(HistoricalFS!E50/HistoricalFS!E$54,0)</f>
        <v>1.1594825272424714E-2</v>
      </c>
      <c r="F20" s="35">
        <f>IFERROR(HistoricalFS!F50/HistoricalFS!F$54,0)</f>
        <v>1.0718007244578972E-2</v>
      </c>
      <c r="G20" s="35">
        <f>IFERROR(HistoricalFS!G50/HistoricalFS!G$54,0)</f>
        <v>3.4186790805935409E-3</v>
      </c>
      <c r="H20" s="35">
        <f>IFERROR(HistoricalFS!H50/HistoricalFS!H$54,0)</f>
        <v>3.3330496695316712E-3</v>
      </c>
      <c r="I20" s="35">
        <f>IFERROR(HistoricalFS!I50/HistoricalFS!I$54,0)</f>
        <v>3.2157860886462223E-3</v>
      </c>
      <c r="J20" s="35">
        <f>IFERROR(HistoricalFS!J50/HistoricalFS!J$54,0)</f>
        <v>2.9940501216731007E-3</v>
      </c>
      <c r="K20" s="35">
        <f>IFERROR(HistoricalFS!K50/HistoricalFS!K$54,0)</f>
        <v>2.9425390982056772E-3</v>
      </c>
      <c r="L20" s="35">
        <f>IFERROR(HistoricalFS!#REF!/HistoricalFS!#REF!,0)</f>
        <v>0</v>
      </c>
      <c r="M20" s="35"/>
    </row>
    <row r="21" spans="1:13" hidden="1" outlineLevel="1" x14ac:dyDescent="0.3">
      <c r="B21" t="s">
        <v>12</v>
      </c>
      <c r="C21" s="35">
        <f>IFERROR(HistoricalFS!C51/HistoricalFS!C$54,0)</f>
        <v>0.41563733604991721</v>
      </c>
      <c r="D21" s="35">
        <f>IFERROR(HistoricalFS!D51/HistoricalFS!D$54,0)</f>
        <v>0.3955324151830702</v>
      </c>
      <c r="E21" s="35">
        <f>IFERROR(HistoricalFS!E51/HistoricalFS!E$54,0)</f>
        <v>0.41070374147834021</v>
      </c>
      <c r="F21" s="35">
        <f>IFERROR(HistoricalFS!F51/HistoricalFS!F$54,0)</f>
        <v>0.39760829653153379</v>
      </c>
      <c r="G21" s="35">
        <f>IFERROR(HistoricalFS!G51/HistoricalFS!G$54,0)</f>
        <v>0.69012219959266807</v>
      </c>
      <c r="H21" s="35">
        <f>IFERROR(HistoricalFS!H51/HistoricalFS!H$54,0)</f>
        <v>0.69250843899809944</v>
      </c>
      <c r="I21" s="35">
        <f>IFERROR(HistoricalFS!I51/HistoricalFS!I$54,0)</f>
        <v>0.68515401562735201</v>
      </c>
      <c r="J21" s="35">
        <f>IFERROR(HistoricalFS!J51/HistoricalFS!J$54,0)</f>
        <v>0.64955598873727527</v>
      </c>
      <c r="K21" s="35">
        <f>IFERROR(HistoricalFS!K51/HistoricalFS!K$54,0)</f>
        <v>0.6156417865594831</v>
      </c>
      <c r="L21" s="35">
        <f>IFERROR(HistoricalFS!#REF!/HistoricalFS!#REF!,0)</f>
        <v>0</v>
      </c>
      <c r="M21" s="35"/>
    </row>
    <row r="22" spans="1:13" hidden="1" outlineLevel="1" x14ac:dyDescent="0.3">
      <c r="B22" t="s">
        <v>36</v>
      </c>
      <c r="C22" s="35">
        <f>IFERROR(HistoricalFS!C52/HistoricalFS!C$54,0)</f>
        <v>1.7636572010696547E-2</v>
      </c>
      <c r="D22" s="35">
        <f>IFERROR(HistoricalFS!D52/HistoricalFS!D$54,0)</f>
        <v>0</v>
      </c>
      <c r="E22" s="35">
        <f>IFERROR(HistoricalFS!E52/HistoricalFS!E$54,0)</f>
        <v>5.3142949165279939E-3</v>
      </c>
      <c r="F22" s="35">
        <f>IFERROR(HistoricalFS!F52/HistoricalFS!F$54,0)</f>
        <v>0</v>
      </c>
      <c r="G22" s="35">
        <f>IFERROR(HistoricalFS!G52/HistoricalFS!G$54,0)</f>
        <v>0</v>
      </c>
      <c r="H22" s="35">
        <f>IFERROR(HistoricalFS!H52/HistoricalFS!H$54,0)</f>
        <v>1.4793067256687375E-2</v>
      </c>
      <c r="I22" s="35">
        <f>IFERROR(HistoricalFS!I52/HistoricalFS!I$54,0)</f>
        <v>1.668103507259466E-2</v>
      </c>
      <c r="J22" s="35">
        <f>IFERROR(HistoricalFS!J52/HistoricalFS!J$54,0)</f>
        <v>1.8907108002395239E-2</v>
      </c>
      <c r="K22" s="35">
        <f>IFERROR(HistoricalFS!K52/HistoricalFS!K$54,0)</f>
        <v>2.0635338016353005E-2</v>
      </c>
      <c r="L22" s="35">
        <f>IFERROR(HistoricalFS!#REF!/HistoricalFS!#REF!,0)</f>
        <v>0</v>
      </c>
      <c r="M22" s="35"/>
    </row>
    <row r="23" spans="1:13" hidden="1" outlineLevel="1" x14ac:dyDescent="0.3">
      <c r="B23" t="s">
        <v>37</v>
      </c>
      <c r="C23" s="35">
        <f>IFERROR(HistoricalFS!C53/HistoricalFS!C$54,0)</f>
        <v>0.55297338596714629</v>
      </c>
      <c r="D23" s="35">
        <f>IFERROR(HistoricalFS!D53/HistoricalFS!D$54,0)</f>
        <v>0.5923748740342627</v>
      </c>
      <c r="E23" s="35">
        <f>IFERROR(HistoricalFS!E53/HistoricalFS!E$54,0)</f>
        <v>0.57238713833270705</v>
      </c>
      <c r="F23" s="35">
        <f>IFERROR(HistoricalFS!F53/HistoricalFS!F$54,0)</f>
        <v>0.59167369622388721</v>
      </c>
      <c r="G23" s="35">
        <f>IFERROR(HistoricalFS!G53/HistoricalFS!G$54,0)</f>
        <v>0.30645912132673842</v>
      </c>
      <c r="H23" s="35">
        <f>IFERROR(HistoricalFS!H53/HistoricalFS!H$54,0)</f>
        <v>0.28936544407568149</v>
      </c>
      <c r="I23" s="35">
        <f>IFERROR(HistoricalFS!I53/HistoricalFS!I$54,0)</f>
        <v>0.29494916321140713</v>
      </c>
      <c r="J23" s="35">
        <f>IFERROR(HistoricalFS!J53/HistoricalFS!J$54,0)</f>
        <v>0.32854285313865639</v>
      </c>
      <c r="K23" s="35">
        <f>IFERROR(HistoricalFS!K53/HistoricalFS!K$54,0)</f>
        <v>0.36078033632595818</v>
      </c>
      <c r="L23" s="35">
        <f>IFERROR(HistoricalFS!#REF!/HistoricalFS!#REF!,0)</f>
        <v>0</v>
      </c>
      <c r="M23" s="35"/>
    </row>
    <row r="24" spans="1:13" hidden="1" outlineLevel="1" x14ac:dyDescent="0.3">
      <c r="B24" s="49" t="s">
        <v>82</v>
      </c>
      <c r="C24" s="52">
        <f>IFERROR(HistoricalFS!C54/HistoricalFS!C$54,0)</f>
        <v>1</v>
      </c>
      <c r="D24" s="52">
        <f>IFERROR(HistoricalFS!D54/HistoricalFS!D$54,0)</f>
        <v>1</v>
      </c>
      <c r="E24" s="52">
        <f>IFERROR(HistoricalFS!E54/HistoricalFS!E$54,0)</f>
        <v>1</v>
      </c>
      <c r="F24" s="52">
        <f>IFERROR(HistoricalFS!F54/HistoricalFS!F$54,0)</f>
        <v>1</v>
      </c>
      <c r="G24" s="52">
        <f>IFERROR(HistoricalFS!G54/HistoricalFS!G$54,0)</f>
        <v>1</v>
      </c>
      <c r="H24" s="52">
        <f>IFERROR(HistoricalFS!H54/HistoricalFS!H$54,0)</f>
        <v>1</v>
      </c>
      <c r="I24" s="52">
        <f>IFERROR(HistoricalFS!I54/HistoricalFS!I$54,0)</f>
        <v>1</v>
      </c>
      <c r="J24" s="52">
        <f>IFERROR(HistoricalFS!J54/HistoricalFS!J$54,0)</f>
        <v>1</v>
      </c>
      <c r="K24" s="52">
        <f>IFERROR(HistoricalFS!K54/HistoricalFS!K$54,0)</f>
        <v>1</v>
      </c>
      <c r="L24" s="52">
        <f>IFERROR(HistoricalFS!#REF!/HistoricalFS!#REF!,0)</f>
        <v>0</v>
      </c>
      <c r="M24" s="50"/>
    </row>
    <row r="25" spans="1:13" hidden="1" outlineLevel="1" x14ac:dyDescent="0.3"/>
    <row r="26" spans="1:13" hidden="1" outlineLevel="1" x14ac:dyDescent="0.3">
      <c r="B26" t="s">
        <v>83</v>
      </c>
      <c r="C26" s="35">
        <f>IFERROR(HistoricalFS!C56/HistoricalFS!C$67,0)</f>
        <v>0.2813574430154081</v>
      </c>
      <c r="D26" s="35">
        <f>IFERROR(HistoricalFS!D56/HistoricalFS!D$67,0)</f>
        <v>0.25349904825887359</v>
      </c>
      <c r="E26" s="35">
        <f>IFERROR(HistoricalFS!E56/HistoricalFS!E$67,0)</f>
        <v>0.25310000536797467</v>
      </c>
      <c r="F26" s="35">
        <f>IFERROR(HistoricalFS!F56/HistoricalFS!F$67,0)</f>
        <v>0.27187019302337123</v>
      </c>
      <c r="G26" s="35">
        <f>IFERROR(HistoricalFS!G56/HistoricalFS!G$67,0)</f>
        <v>0.74837067209775965</v>
      </c>
      <c r="H26" s="35">
        <f>IFERROR(HistoricalFS!H56/HistoricalFS!H$67,0)</f>
        <v>0.73005134314810083</v>
      </c>
      <c r="I26" s="35">
        <f>IFERROR(HistoricalFS!I56/HistoricalFS!I$67,0)</f>
        <v>0.720856083309386</v>
      </c>
      <c r="J26" s="35">
        <f>IFERROR(HistoricalFS!J56/HistoricalFS!J$67,0)</f>
        <v>0.68473289250723035</v>
      </c>
      <c r="K26" s="35">
        <f>IFERROR(HistoricalFS!K56/HistoricalFS!K$67,0)</f>
        <v>0.68035260383406582</v>
      </c>
      <c r="L26" s="35">
        <f>IFERROR(HistoricalFS!#REF!/HistoricalFS!#REF!,0)</f>
        <v>0</v>
      </c>
    </row>
    <row r="27" spans="1:13" hidden="1" outlineLevel="1" x14ac:dyDescent="0.3">
      <c r="B27" t="s">
        <v>15</v>
      </c>
      <c r="C27" s="35">
        <f>IFERROR(HistoricalFS!C57/HistoricalFS!C$67,0)</f>
        <v>1.458041512797657E-2</v>
      </c>
      <c r="D27" s="35">
        <f>IFERROR(HistoricalFS!D57/HistoricalFS!D$67,0)</f>
        <v>2.5808979957451572E-2</v>
      </c>
      <c r="E27" s="35">
        <f>IFERROR(HistoricalFS!E57/HistoricalFS!E$67,0)</f>
        <v>2.1793977132427936E-2</v>
      </c>
      <c r="F27" s="35">
        <f>IFERROR(HistoricalFS!F57/HistoricalFS!F$67,0)</f>
        <v>2.9623381134322432E-2</v>
      </c>
      <c r="G27" s="35">
        <f>IFERROR(HistoricalFS!G57/HistoricalFS!G$67,0)</f>
        <v>1.0837940064009311E-2</v>
      </c>
      <c r="H27" s="35">
        <f>IFERROR(HistoricalFS!H57/HistoricalFS!H$67,0)</f>
        <v>1.8622528579128019E-2</v>
      </c>
      <c r="I27" s="35">
        <f>IFERROR(HistoricalFS!I57/HistoricalFS!I$67,0)</f>
        <v>1.5490510009989463E-2</v>
      </c>
      <c r="J27" s="35">
        <f>IFERROR(HistoricalFS!J57/HistoricalFS!J$67,0)</f>
        <v>1.305915478602097E-2</v>
      </c>
      <c r="K27" s="35">
        <f>IFERROR(HistoricalFS!K57/HistoricalFS!K$67,0)</f>
        <v>1.263413595782778E-2</v>
      </c>
      <c r="L27" s="35">
        <f>IFERROR(HistoricalFS!#REF!/HistoricalFS!#REF!,0)</f>
        <v>0</v>
      </c>
    </row>
    <row r="28" spans="1:13" hidden="1" outlineLevel="1" x14ac:dyDescent="0.3">
      <c r="B28" t="s">
        <v>16</v>
      </c>
      <c r="C28" s="35">
        <f>IFERROR(HistoricalFS!C58/HistoricalFS!C$67,0)</f>
        <v>0.24156373360499173</v>
      </c>
      <c r="D28" s="35">
        <f>IFERROR(HistoricalFS!D58/HistoricalFS!D$67,0)</f>
        <v>0.16084425036390101</v>
      </c>
      <c r="E28" s="35">
        <f>IFERROR(HistoricalFS!E58/HistoricalFS!E$67,0)</f>
        <v>0.14579419185141446</v>
      </c>
      <c r="F28" s="35">
        <f>IFERROR(HistoricalFS!F58/HistoricalFS!F$67,0)</f>
        <v>6.2273606907160224E-2</v>
      </c>
      <c r="G28" s="35">
        <f>IFERROR(HistoricalFS!G58/HistoricalFS!G$67,0)</f>
        <v>3.9409368635437883E-2</v>
      </c>
      <c r="H28" s="35">
        <f>IFERROR(HistoricalFS!H58/HistoricalFS!H$67,0)</f>
        <v>4.9939012282642609E-2</v>
      </c>
      <c r="I28" s="35">
        <f>IFERROR(HistoricalFS!I58/HistoricalFS!I$67,0)</f>
        <v>3.9437853223312398E-2</v>
      </c>
      <c r="J28" s="35">
        <f>IFERROR(HistoricalFS!J58/HistoricalFS!J$67,0)</f>
        <v>5.8925454522289748E-2</v>
      </c>
      <c r="K28" s="35">
        <f>IFERROR(HistoricalFS!K58/HistoricalFS!K$67,0)</f>
        <v>4.7706697719845238E-2</v>
      </c>
      <c r="L28" s="35">
        <f>IFERROR(HistoricalFS!#REF!/HistoricalFS!#REF!,0)</f>
        <v>0</v>
      </c>
    </row>
    <row r="29" spans="1:13" hidden="1" outlineLevel="1" x14ac:dyDescent="0.3">
      <c r="B29" t="s">
        <v>38</v>
      </c>
      <c r="C29" s="35">
        <f>IFERROR(HistoricalFS!C59/HistoricalFS!C$67,0)</f>
        <v>0.1152425824525659</v>
      </c>
      <c r="D29" s="35">
        <f>IFERROR(HistoricalFS!D59/HistoricalFS!D$67,0)</f>
        <v>0.15071100660620312</v>
      </c>
      <c r="E29" s="35">
        <f>IFERROR(HistoricalFS!E59/HistoricalFS!E$67,0)</f>
        <v>0.14198292984057115</v>
      </c>
      <c r="F29" s="35">
        <f>IFERROR(HistoricalFS!F59/HistoricalFS!F$67,0)</f>
        <v>0.18821019203096312</v>
      </c>
      <c r="G29" s="35">
        <f>IFERROR(HistoricalFS!G59/HistoricalFS!G$67,0)</f>
        <v>5.8699447192318885E-2</v>
      </c>
      <c r="H29" s="35">
        <f>IFERROR(HistoricalFS!H59/HistoricalFS!H$67,0)</f>
        <v>5.7030607324199359E-2</v>
      </c>
      <c r="I29" s="35">
        <f>IFERROR(HistoricalFS!I59/HistoricalFS!I$67,0)</f>
        <v>5.9895726425551132E-2</v>
      </c>
      <c r="J29" s="35">
        <f>IFERROR(HistoricalFS!J59/HistoricalFS!J$67,0)</f>
        <v>5.7549465530201682E-2</v>
      </c>
      <c r="K29" s="35">
        <f>IFERROR(HistoricalFS!K59/HistoricalFS!K$67,0)</f>
        <v>6.1618020860723988E-2</v>
      </c>
      <c r="L29" s="35">
        <f>IFERROR(HistoricalFS!#REF!/HistoricalFS!#REF!,0)</f>
        <v>0</v>
      </c>
    </row>
    <row r="30" spans="1:13" hidden="1" outlineLevel="1" x14ac:dyDescent="0.3">
      <c r="B30" s="47" t="s">
        <v>84</v>
      </c>
      <c r="C30" s="53">
        <f>IFERROR(HistoricalFS!C60/HistoricalFS!C$67,0)</f>
        <v>0.65274417420094233</v>
      </c>
      <c r="D30" s="53">
        <f>IFERROR(HistoricalFS!D60/HistoricalFS!D$67,0)</f>
        <v>0.59086328518642928</v>
      </c>
      <c r="E30" s="53">
        <f>IFERROR(HistoricalFS!E60/HistoricalFS!E$67,0)</f>
        <v>0.56267110419238819</v>
      </c>
      <c r="F30" s="53">
        <f>IFERROR(HistoricalFS!F60/HistoricalFS!F$67,0)</f>
        <v>0.55197737309581696</v>
      </c>
      <c r="G30" s="53">
        <f>IFERROR(HistoricalFS!G60/HistoricalFS!G$67,0)</f>
        <v>0.8573174279895257</v>
      </c>
      <c r="H30" s="53">
        <f>IFERROR(HistoricalFS!H60/HistoricalFS!H$67,0)</f>
        <v>0.8556434913340708</v>
      </c>
      <c r="I30" s="53">
        <f>IFERROR(HistoricalFS!I60/HistoricalFS!I$67,0)</f>
        <v>0.83568017296823893</v>
      </c>
      <c r="J30" s="53">
        <f>IFERROR(HistoricalFS!J60/HistoricalFS!J$67,0)</f>
        <v>0.81426696734574266</v>
      </c>
      <c r="K30" s="53">
        <f>IFERROR(HistoricalFS!K60/HistoricalFS!K$67,0)</f>
        <v>0.80231145837246287</v>
      </c>
      <c r="L30" s="53">
        <f>IFERROR(HistoricalFS!#REF!/HistoricalFS!#REF!,0)</f>
        <v>0</v>
      </c>
      <c r="M30" s="48"/>
    </row>
    <row r="31" spans="1:13" hidden="1" outlineLevel="1" x14ac:dyDescent="0.3"/>
    <row r="32" spans="1:13" hidden="1" outlineLevel="1" x14ac:dyDescent="0.3">
      <c r="B32" t="s">
        <v>43</v>
      </c>
      <c r="C32" s="35">
        <f>IFERROR(HistoricalFS!C62/HistoricalFS!C$67,0)</f>
        <v>6.9081879536482871E-2</v>
      </c>
      <c r="D32" s="35">
        <f>IFERROR(HistoricalFS!D62/HistoricalFS!D$67,0)</f>
        <v>7.3340051505990364E-2</v>
      </c>
      <c r="E32" s="35">
        <f>IFERROR(HistoricalFS!E62/HistoricalFS!E$67,0)</f>
        <v>9.748241988297815E-2</v>
      </c>
      <c r="F32" s="35">
        <f>IFERROR(HistoricalFS!F62/HistoricalFS!F$67,0)</f>
        <v>5.7013844092690912E-2</v>
      </c>
      <c r="G32" s="35">
        <f>IFERROR(HistoricalFS!G62/HistoricalFS!G$67,0)</f>
        <v>2.5574629036950829E-2</v>
      </c>
      <c r="H32" s="35">
        <f>IFERROR(HistoricalFS!H62/HistoricalFS!H$67,0)</f>
        <v>3.1713613025841775E-2</v>
      </c>
      <c r="I32" s="35">
        <f>IFERROR(HistoricalFS!I62/HistoricalFS!I$67,0)</f>
        <v>4.2133639859326465E-2</v>
      </c>
      <c r="J32" s="35">
        <f>IFERROR(HistoricalFS!J62/HistoricalFS!J$67,0)</f>
        <v>3.8183694530443756E-2</v>
      </c>
      <c r="K32" s="35">
        <f>IFERROR(HistoricalFS!K62/HistoricalFS!K$67,0)</f>
        <v>4.781939070658503E-2</v>
      </c>
      <c r="L32" s="35">
        <f>IFERROR(HistoricalFS!#REF!/HistoricalFS!#REF!,0)</f>
        <v>0</v>
      </c>
    </row>
    <row r="33" spans="2:13" hidden="1" outlineLevel="1" x14ac:dyDescent="0.3">
      <c r="B33" t="s">
        <v>30</v>
      </c>
      <c r="C33" s="35">
        <f>IFERROR(HistoricalFS!C63/HistoricalFS!C$67,0)</f>
        <v>0.16178530497898891</v>
      </c>
      <c r="D33" s="35">
        <f>IFERROR(HistoricalFS!D63/HistoricalFS!D$67,0)</f>
        <v>0.14068973239278917</v>
      </c>
      <c r="E33" s="35">
        <f>IFERROR(HistoricalFS!E63/HistoricalFS!E$67,0)</f>
        <v>0.13817166782972784</v>
      </c>
      <c r="F33" s="35">
        <f>IFERROR(HistoricalFS!F63/HistoricalFS!F$67,0)</f>
        <v>0.13729965761921303</v>
      </c>
      <c r="G33" s="35">
        <f>IFERROR(HistoricalFS!G63/HistoricalFS!G$67,0)</f>
        <v>5.2065755018911843E-2</v>
      </c>
      <c r="H33" s="35">
        <f>IFERROR(HistoricalFS!H63/HistoricalFS!H$67,0)</f>
        <v>5.8094346580432873E-2</v>
      </c>
      <c r="I33" s="35">
        <f>IFERROR(HistoricalFS!I63/HistoricalFS!I$67,0)</f>
        <v>5.8171517714191878E-2</v>
      </c>
      <c r="J33" s="35">
        <f>IFERROR(HistoricalFS!J63/HistoricalFS!J$67,0)</f>
        <v>5.1242849316464729E-2</v>
      </c>
      <c r="K33" s="35">
        <f>IFERROR(HistoricalFS!K63/HistoricalFS!K$67,0)</f>
        <v>5.5282170717353467E-2</v>
      </c>
      <c r="L33" s="35">
        <f>IFERROR(HistoricalFS!#REF!/HistoricalFS!#REF!,0)</f>
        <v>0</v>
      </c>
    </row>
    <row r="34" spans="2:13" hidden="1" outlineLevel="1" x14ac:dyDescent="0.3">
      <c r="B34" t="s">
        <v>52</v>
      </c>
      <c r="C34" s="35">
        <f>IFERROR(HistoricalFS!C64/HistoricalFS!C$67,0)</f>
        <v>0.11638864128358589</v>
      </c>
      <c r="D34" s="35">
        <f>IFERROR(HistoricalFS!D64/HistoricalFS!D$67,0)</f>
        <v>0.19510693091479117</v>
      </c>
      <c r="E34" s="35">
        <f>IFERROR(HistoricalFS!E64/HistoricalFS!E$67,0)</f>
        <v>0.20167480809490579</v>
      </c>
      <c r="F34" s="35">
        <f>IFERROR(HistoricalFS!F64/HistoricalFS!F$67,0)</f>
        <v>0.25370912519227906</v>
      </c>
      <c r="G34" s="35">
        <f>IFERROR(HistoricalFS!G64/HistoricalFS!G$67,0)</f>
        <v>6.5042187954611586E-2</v>
      </c>
      <c r="H34" s="35">
        <f>IFERROR(HistoricalFS!H64/HistoricalFS!H$67,0)</f>
        <v>5.4548549059654498E-2</v>
      </c>
      <c r="I34" s="35">
        <f>IFERROR(HistoricalFS!I64/HistoricalFS!I$67,0)</f>
        <v>6.4014669458242676E-2</v>
      </c>
      <c r="J34" s="35">
        <f>IFERROR(HistoricalFS!J64/HistoricalFS!J$67,0)</f>
        <v>9.6306488807348795E-2</v>
      </c>
      <c r="K34" s="35">
        <f>IFERROR(HistoricalFS!K64/HistoricalFS!K$67,0)</f>
        <v>9.4586980203598667E-2</v>
      </c>
      <c r="L34" s="35">
        <f>IFERROR(HistoricalFS!#REF!/HistoricalFS!#REF!,0)</f>
        <v>0</v>
      </c>
    </row>
    <row r="35" spans="2:13" hidden="1" outlineLevel="1" x14ac:dyDescent="0.3">
      <c r="B35" s="47" t="s">
        <v>85</v>
      </c>
      <c r="C35" s="53">
        <f>IFERROR(HistoricalFS!C65/HistoricalFS!C$67,0)</f>
        <v>0.34725582579905767</v>
      </c>
      <c r="D35" s="53">
        <f>IFERROR(HistoricalFS!D65/HistoricalFS!D$67,0)</f>
        <v>0.40913671481357072</v>
      </c>
      <c r="E35" s="53">
        <f>IFERROR(HistoricalFS!E65/HistoricalFS!E$67,0)</f>
        <v>0.43732889580761181</v>
      </c>
      <c r="F35" s="53">
        <f>IFERROR(HistoricalFS!F65/HistoricalFS!F$67,0)</f>
        <v>0.44802262690418299</v>
      </c>
      <c r="G35" s="53">
        <f>IFERROR(HistoricalFS!G65/HistoricalFS!G$67,0)</f>
        <v>0.14268257201047424</v>
      </c>
      <c r="H35" s="53">
        <f>IFERROR(HistoricalFS!H65/HistoricalFS!H$67,0)</f>
        <v>0.14435650866592914</v>
      </c>
      <c r="I35" s="53">
        <f>IFERROR(HistoricalFS!I65/HistoricalFS!I$67,0)</f>
        <v>0.16431982703176101</v>
      </c>
      <c r="J35" s="53">
        <f>IFERROR(HistoricalFS!J65/HistoricalFS!J$67,0)</f>
        <v>0.18573303265425728</v>
      </c>
      <c r="K35" s="53">
        <f>IFERROR(HistoricalFS!K65/HistoricalFS!K$67,0)</f>
        <v>0.19768854162753716</v>
      </c>
      <c r="L35" s="53">
        <f>IFERROR(HistoricalFS!#REF!/HistoricalFS!#REF!,0)</f>
        <v>0</v>
      </c>
      <c r="M35" s="48"/>
    </row>
    <row r="36" spans="2:13" hidden="1" outlineLevel="1" x14ac:dyDescent="0.3"/>
    <row r="37" spans="2:13" ht="15" hidden="1" outlineLevel="1" thickBot="1" x14ac:dyDescent="0.35">
      <c r="B37" s="54" t="s">
        <v>86</v>
      </c>
      <c r="C37" s="55">
        <f>IFERROR(HistoricalFS!C67/HistoricalFS!C$67,0)</f>
        <v>1</v>
      </c>
      <c r="D37" s="55">
        <f>IFERROR(HistoricalFS!D67/HistoricalFS!D$67,0)</f>
        <v>1</v>
      </c>
      <c r="E37" s="55">
        <f>IFERROR(HistoricalFS!E67/HistoricalFS!E$67,0)</f>
        <v>1</v>
      </c>
      <c r="F37" s="55">
        <f>IFERROR(HistoricalFS!F67/HistoricalFS!F$67,0)</f>
        <v>1</v>
      </c>
      <c r="G37" s="55">
        <f>IFERROR(HistoricalFS!G67/HistoricalFS!G$67,0)</f>
        <v>1</v>
      </c>
      <c r="H37" s="55">
        <f>IFERROR(HistoricalFS!H67/HistoricalFS!H$67,0)</f>
        <v>1</v>
      </c>
      <c r="I37" s="55">
        <f>IFERROR(HistoricalFS!I67/HistoricalFS!I$67,0)</f>
        <v>1</v>
      </c>
      <c r="J37" s="55">
        <f>IFERROR(HistoricalFS!J67/HistoricalFS!J$67,0)</f>
        <v>1</v>
      </c>
      <c r="K37" s="55">
        <f>IFERROR(HistoricalFS!K67/HistoricalFS!K$67,0)</f>
        <v>1</v>
      </c>
      <c r="L37" s="55">
        <f>IFERROR(HistoricalFS!#REF!/HistoricalFS!#REF!,0)</f>
        <v>0</v>
      </c>
      <c r="M37" s="56"/>
    </row>
    <row r="38" spans="2:13" ht="15" hidden="1" outlineLevel="1" thickTop="1" x14ac:dyDescent="0.3"/>
    <row r="39" spans="2:13" collapsed="1" x14ac:dyDescent="0.3"/>
  </sheetData>
  <mergeCells count="1">
    <mergeCell ref="B2: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A665-690A-48AC-BC6C-878FB90EA362}">
  <dimension ref="A2:O41"/>
  <sheetViews>
    <sheetView showGridLines="0" zoomScale="70" zoomScaleNormal="70" workbookViewId="0">
      <pane ySplit="3" topLeftCell="A4" activePane="bottomLeft" state="frozen"/>
      <selection pane="bottomLeft" activeCell="AB32" sqref="AB32"/>
    </sheetView>
  </sheetViews>
  <sheetFormatPr defaultRowHeight="14.4" x14ac:dyDescent="0.3"/>
  <cols>
    <col min="1" max="1" width="1.88671875" style="27" customWidth="1"/>
    <col min="2" max="2" width="23.5546875" customWidth="1"/>
    <col min="13" max="13" width="22.6640625" customWidth="1"/>
  </cols>
  <sheetData>
    <row r="2" spans="1:15" x14ac:dyDescent="0.3">
      <c r="B2" s="197" t="str">
        <f>"Ratio Analysis - "&amp;'Data Sheet'!B1</f>
        <v>Ratio Analysis - HINDUSTAN UNILEVER LTD</v>
      </c>
      <c r="C2" s="197"/>
      <c r="D2" s="197"/>
      <c r="E2" s="197"/>
      <c r="F2" s="197"/>
      <c r="G2" s="197"/>
      <c r="H2" s="197"/>
      <c r="I2" s="197"/>
      <c r="J2" s="197"/>
      <c r="K2" s="197"/>
      <c r="L2" s="197"/>
      <c r="M2" s="197"/>
      <c r="N2" s="197"/>
      <c r="O2" s="197"/>
    </row>
    <row r="3" spans="1:15" x14ac:dyDescent="0.3">
      <c r="B3" s="40" t="s">
        <v>55</v>
      </c>
      <c r="C3" s="101">
        <f>'Data Sheet'!B16</f>
        <v>42825</v>
      </c>
      <c r="D3" s="101">
        <f>'Data Sheet'!C16</f>
        <v>43190</v>
      </c>
      <c r="E3" s="101">
        <f>'Data Sheet'!D16</f>
        <v>43555</v>
      </c>
      <c r="F3" s="101">
        <f>'Data Sheet'!E16</f>
        <v>43921</v>
      </c>
      <c r="G3" s="101">
        <f>'Data Sheet'!F16</f>
        <v>44286</v>
      </c>
      <c r="H3" s="101">
        <f>'Data Sheet'!G16</f>
        <v>44651</v>
      </c>
      <c r="I3" s="101">
        <f>'Data Sheet'!H16</f>
        <v>45016</v>
      </c>
      <c r="J3" s="101">
        <f>'Data Sheet'!I16</f>
        <v>45382</v>
      </c>
      <c r="K3" s="101">
        <f>'Data Sheet'!J16</f>
        <v>45747</v>
      </c>
      <c r="L3" s="101" t="e">
        <f>'Data Sheet'!#REF!</f>
        <v>#REF!</v>
      </c>
      <c r="M3" s="140" t="s">
        <v>163</v>
      </c>
      <c r="N3" s="101" t="s">
        <v>161</v>
      </c>
      <c r="O3" s="101" t="s">
        <v>162</v>
      </c>
    </row>
    <row r="4" spans="1:15" x14ac:dyDescent="0.3">
      <c r="B4" t="s">
        <v>131</v>
      </c>
    </row>
    <row r="5" spans="1:15" x14ac:dyDescent="0.3">
      <c r="B5" t="s">
        <v>132</v>
      </c>
      <c r="C5" s="10" t="str">
        <f>IFERROR(HistoricalFS!C7,0)</f>
        <v>-</v>
      </c>
      <c r="D5" s="10">
        <f>IFERROR(HistoricalFS!D7,0)</f>
        <v>7.1859357095470644E-2</v>
      </c>
      <c r="E5" s="10">
        <f>IFERROR(HistoricalFS!E7,0)</f>
        <v>0.1059220706147137</v>
      </c>
      <c r="F5" s="10">
        <f>IFERROR(HistoricalFS!F7,0)</f>
        <v>1.2032561689137689E-2</v>
      </c>
      <c r="G5" s="10">
        <f>IFERROR(HistoricalFS!G7,0)</f>
        <v>0.18211296282331646</v>
      </c>
      <c r="H5" s="10">
        <f>IFERROR(HistoricalFS!H7,0)</f>
        <v>0.11520796121459553</v>
      </c>
      <c r="I5" s="10">
        <f>IFERROR(HistoricalFS!I7,0)</f>
        <v>0.15509285741524614</v>
      </c>
      <c r="J5" s="10">
        <f>IFERROR(HistoricalFS!J7,0)</f>
        <v>2.1723341036645749E-2</v>
      </c>
      <c r="K5" s="10">
        <f>IFERROR(HistoricalFS!K7,0)</f>
        <v>1.9791262763344974E-2</v>
      </c>
      <c r="L5" s="10">
        <f>IFERROR(HistoricalFS!#REF!,0)</f>
        <v>0</v>
      </c>
      <c r="N5" s="10">
        <f>IFERROR(AVERAGE(D5:L5),0)</f>
        <v>7.597137496138566E-2</v>
      </c>
      <c r="O5" s="10">
        <f>IFERROR(MEDIAN(D5:L5),0)</f>
        <v>7.1859357095470644E-2</v>
      </c>
    </row>
    <row r="6" spans="1:15" x14ac:dyDescent="0.3">
      <c r="B6" t="s">
        <v>133</v>
      </c>
      <c r="C6" s="10" t="s">
        <v>59</v>
      </c>
      <c r="D6" s="10">
        <f>IFERROR(HistoricalFS!D18/HistoricalFS!C18-1,0)</f>
        <v>0.1850505689001265</v>
      </c>
      <c r="E6" s="10">
        <f>IFERROR(HistoricalFS!E18/HistoricalFS!D18-1,0)</f>
        <v>0.1841578877183625</v>
      </c>
      <c r="F6" s="10">
        <f>IFERROR(HistoricalFS!F18/HistoricalFS!E18-1,0)</f>
        <v>0.11047297297297298</v>
      </c>
      <c r="G6" s="10">
        <f>IFERROR(HistoricalFS!G18/HistoricalFS!F18-1,0)</f>
        <v>0.1789879322583916</v>
      </c>
      <c r="H6" s="10">
        <f>IFERROR(HistoricalFS!H18/HistoricalFS!G18-1,0)</f>
        <v>0.10588336487183891</v>
      </c>
      <c r="I6" s="10">
        <f>IFERROR(HistoricalFS!I18/HistoricalFS!H18-1,0)</f>
        <v>0.10033444816053505</v>
      </c>
      <c r="J6" s="10">
        <f>IFERROR(HistoricalFS!J18/HistoricalFS!I18-1,0)</f>
        <v>3.6191418675337594E-2</v>
      </c>
      <c r="K6" s="10">
        <f>IFERROR(HistoricalFS!K18/HistoricalFS!J18-1,0)</f>
        <v>1.255201582645471E-2</v>
      </c>
      <c r="L6" s="10">
        <f>IFERROR(HistoricalFS!#REF!/HistoricalFS!K18-1,0)</f>
        <v>0</v>
      </c>
      <c r="N6" s="10">
        <f t="shared" ref="N6:N9" si="0">IFERROR(AVERAGE(D6:L6),0)</f>
        <v>0.10151451215377999</v>
      </c>
      <c r="O6" s="10">
        <f t="shared" ref="O6:O9" si="1">IFERROR(MEDIAN(D6:L6),0)</f>
        <v>0.10588336487183891</v>
      </c>
    </row>
    <row r="7" spans="1:15" x14ac:dyDescent="0.3">
      <c r="B7" t="s">
        <v>134</v>
      </c>
      <c r="C7" s="10" t="s">
        <v>59</v>
      </c>
      <c r="D7" s="10">
        <f>IFERROR((HistoricalFS!D30+HistoricalFS!D27)/(HistoricalFS!C30+HistoricalFS!C27)-1,0)</f>
        <v>0.18368385345997296</v>
      </c>
      <c r="E7" s="10">
        <f>IFERROR((HistoricalFS!E30-HistoricalFS!E27)/(HistoricalFS!D30-HistoricalFS!D27)-1,0)</f>
        <v>0.19084740869063088</v>
      </c>
      <c r="F7" s="10">
        <f>IFERROR((HistoricalFS!F30-HistoricalFS!F27)/(HistoricalFS!E30-HistoricalFS!E27)-1,0)</f>
        <v>4.5338828948963572E-2</v>
      </c>
      <c r="G7" s="10">
        <f>IFERROR((HistoricalFS!G30-HistoricalFS!G27)/(HistoricalFS!F30-HistoricalFS!F27)-1,0)</f>
        <v>0.19656731995825116</v>
      </c>
      <c r="H7" s="10">
        <f>IFERROR((HistoricalFS!H30-HistoricalFS!H27)/(HistoricalFS!G30-HistoricalFS!G27)-1,0)</f>
        <v>0.11979065710408987</v>
      </c>
      <c r="I7" s="10">
        <f>IFERROR((HistoricalFS!I30-HistoricalFS!I27)/(HistoricalFS!H30-HistoricalFS!H27)-1,0)</f>
        <v>0.10628353816859959</v>
      </c>
      <c r="J7" s="10">
        <f>IFERROR((HistoricalFS!J30-HistoricalFS!J27)/(HistoricalFS!I30-HistoricalFS!I27)-1,0)</f>
        <v>-5.4764512595839587E-4</v>
      </c>
      <c r="K7" s="10">
        <f>IFERROR((HistoricalFS!K30-HistoricalFS!K27)/(HistoricalFS!J30-HistoricalFS!J27)-1,0)</f>
        <v>-6.0273972602740145E-3</v>
      </c>
      <c r="L7" s="10">
        <f>IFERROR((HistoricalFS!#REF!-HistoricalFS!#REF!)/(HistoricalFS!K30-HistoricalFS!K27)-1,0)</f>
        <v>0</v>
      </c>
      <c r="N7" s="10">
        <f t="shared" si="0"/>
        <v>9.2881840438252844E-2</v>
      </c>
      <c r="O7" s="10">
        <f t="shared" si="1"/>
        <v>0.10628353816859959</v>
      </c>
    </row>
    <row r="8" spans="1:15" x14ac:dyDescent="0.3">
      <c r="B8" t="s">
        <v>135</v>
      </c>
      <c r="C8" s="10" t="s">
        <v>59</v>
      </c>
      <c r="D8" s="10">
        <f>IFERROR(HistoricalFS!D36/HistoricalFS!C36-1,0)</f>
        <v>0.2548918640576725</v>
      </c>
      <c r="E8" s="10">
        <f>IFERROR(HistoricalFS!E36/HistoricalFS!D36-1,0)</f>
        <v>0.17726713171932706</v>
      </c>
      <c r="F8" s="10">
        <f>IFERROR(HistoricalFS!F36/HistoricalFS!E36-1,0)</f>
        <v>0.10352039037992333</v>
      </c>
      <c r="G8" s="10">
        <f>IFERROR(HistoricalFS!G36/HistoricalFS!F36-1,0)</f>
        <v>0.23641819330385339</v>
      </c>
      <c r="H8" s="10">
        <f>IFERROR(HistoricalFS!H36/HistoricalFS!G36-1,0)</f>
        <v>0.10780431728190054</v>
      </c>
      <c r="I8" s="10">
        <f>IFERROR(HistoricalFS!I36/HistoricalFS!H36-1,0)</f>
        <v>0.11783696529459231</v>
      </c>
      <c r="J8" s="10">
        <f>IFERROR(HistoricalFS!J36/HistoricalFS!I36-1,0)</f>
        <v>-2.372356884992266E-2</v>
      </c>
      <c r="K8" s="10">
        <f>IFERROR(HistoricalFS!K36/HistoricalFS!J36-1,0)</f>
        <v>-1.2255678816693094E-2</v>
      </c>
      <c r="L8" s="10">
        <f>IFERROR(HistoricalFS!#REF!/HistoricalFS!K36-1,0)</f>
        <v>0</v>
      </c>
      <c r="N8" s="10">
        <f t="shared" si="0"/>
        <v>0.10686217937451704</v>
      </c>
      <c r="O8" s="10">
        <f t="shared" si="1"/>
        <v>0.10780431728190054</v>
      </c>
    </row>
    <row r="9" spans="1:15" x14ac:dyDescent="0.3">
      <c r="B9" t="s">
        <v>136</v>
      </c>
      <c r="C9" s="10" t="s">
        <v>59</v>
      </c>
      <c r="D9" s="10">
        <f>IFERROR(HistoricalFS!D44/HistoricalFS!C44-1,0)</f>
        <v>0.17636188224423521</v>
      </c>
      <c r="E9" s="10">
        <f>IFERROR(HistoricalFS!E44/HistoricalFS!D44-1,0)</f>
        <v>9.989836928904694E-2</v>
      </c>
      <c r="F9" s="10">
        <f>IFERROR(HistoricalFS!F44/HistoricalFS!E44-1,0)</f>
        <v>0.13631114358664265</v>
      </c>
      <c r="G9" s="10">
        <f>IFERROR(HistoricalFS!G44/HistoricalFS!F44-1,0)</f>
        <v>0.62387640449438186</v>
      </c>
      <c r="H9" s="10">
        <f>IFERROR(HistoricalFS!H44/HistoricalFS!G44-1,0)</f>
        <v>-0.16049382716049365</v>
      </c>
      <c r="I9" s="10">
        <f>IFERROR(HistoricalFS!I44/HistoricalFS!H44-1,0)</f>
        <v>0.14705882352941169</v>
      </c>
      <c r="J9" s="10">
        <f>IFERROR(HistoricalFS!J44/HistoricalFS!I44-1,0)</f>
        <v>7.6923076923076872E-2</v>
      </c>
      <c r="K9" s="10">
        <f>IFERROR(HistoricalFS!K44/HistoricalFS!J44-1,0)</f>
        <v>0.26190476190476186</v>
      </c>
      <c r="L9" s="10">
        <f>IFERROR(HistoricalFS!#REF!/HistoricalFS!K44-1,0)</f>
        <v>0</v>
      </c>
      <c r="N9" s="10">
        <f t="shared" si="0"/>
        <v>0.15131562609011817</v>
      </c>
      <c r="O9" s="10">
        <f t="shared" si="1"/>
        <v>0.13631114358664265</v>
      </c>
    </row>
    <row r="10" spans="1:15" x14ac:dyDescent="0.3">
      <c r="A10" s="33"/>
      <c r="B10" s="31"/>
      <c r="C10" s="31"/>
      <c r="D10" s="31"/>
      <c r="E10" s="31"/>
      <c r="F10" s="31"/>
      <c r="G10" s="31"/>
      <c r="H10" s="31"/>
      <c r="I10" s="31"/>
      <c r="J10" s="31"/>
      <c r="K10" s="31"/>
      <c r="L10" s="31"/>
      <c r="M10" s="31"/>
      <c r="N10" s="31"/>
      <c r="O10" s="31"/>
    </row>
    <row r="11" spans="1:15" x14ac:dyDescent="0.3">
      <c r="B11" t="s">
        <v>63</v>
      </c>
      <c r="C11" s="10">
        <f>IFERROR(HistoricalFS!C13,0)</f>
        <v>0.43685543694590195</v>
      </c>
      <c r="D11" s="10">
        <f>IFERROR(HistoricalFS!D13,0)</f>
        <v>0.45663243775495849</v>
      </c>
      <c r="E11" s="10">
        <f>IFERROR(HistoricalFS!E13,0)</f>
        <v>0.46372424319511574</v>
      </c>
      <c r="F11" s="10">
        <f>IFERROR(HistoricalFS!F13,0)</f>
        <v>0.48183897644722617</v>
      </c>
      <c r="G11" s="10">
        <f>IFERROR(HistoricalFS!G13,0)</f>
        <v>0.46200136089138388</v>
      </c>
      <c r="H11" s="10">
        <f>IFERROR(HistoricalFS!H13,0)</f>
        <v>0.44579186210578498</v>
      </c>
      <c r="I11" s="10">
        <f>IFERROR(HistoricalFS!I13,0)</f>
        <v>0.41596236381644108</v>
      </c>
      <c r="J11" s="10">
        <f>IFERROR(HistoricalFS!J13,0)</f>
        <v>0.45632997285769678</v>
      </c>
      <c r="K11" s="10">
        <f>IFERROR(HistoricalFS!K13,0)</f>
        <v>0.45297127738787407</v>
      </c>
      <c r="L11" s="10">
        <f>IFERROR(HistoricalFS!#REF!,0)</f>
        <v>0</v>
      </c>
      <c r="N11" s="10">
        <f>IFERROR(AVERAGE(C11:L11),0)</f>
        <v>0.40721079314023828</v>
      </c>
      <c r="O11" s="10">
        <f>IFERROR(MEDIAN(C11:L11),0)</f>
        <v>0.45465062512278542</v>
      </c>
    </row>
    <row r="12" spans="1:15" x14ac:dyDescent="0.3">
      <c r="B12" t="s">
        <v>137</v>
      </c>
      <c r="C12" s="10">
        <f>IFERROR(HistoricalFS!C19,0)</f>
        <v>0.1908208190097099</v>
      </c>
      <c r="D12" s="10">
        <f>IFERROR(HistoricalFS!D19,0)</f>
        <v>0.21097200731467156</v>
      </c>
      <c r="E12" s="10">
        <f>IFERROR(HistoricalFS!E19,0)</f>
        <v>0.2258967183922666</v>
      </c>
      <c r="F12" s="10">
        <f>IFERROR(HistoricalFS!F19,0)</f>
        <v>0.24786969308498605</v>
      </c>
      <c r="G12" s="10">
        <f>IFERROR(HistoricalFS!G19,0)</f>
        <v>0.24721442544866887</v>
      </c>
      <c r="H12" s="10">
        <f>IFERROR(HistoricalFS!H19,0)</f>
        <v>0.24514738969606834</v>
      </c>
      <c r="I12" s="10">
        <f>IFERROR(HistoricalFS!I19,0)</f>
        <v>0.23352591614394189</v>
      </c>
      <c r="J12" s="10">
        <f>IFERROR(HistoricalFS!J19,0)</f>
        <v>0.23683275171255008</v>
      </c>
      <c r="K12" s="10">
        <f>IFERROR(HistoricalFS!K19,0)</f>
        <v>0.23515153435465216</v>
      </c>
      <c r="L12" s="10">
        <f>IFERROR(HistoricalFS!#REF!,0)</f>
        <v>0</v>
      </c>
      <c r="N12" s="10">
        <f t="shared" ref="N12:N40" si="2">IFERROR(AVERAGE(C12:L12),0)</f>
        <v>0.20734312551575154</v>
      </c>
      <c r="O12" s="10">
        <f t="shared" ref="O12:O40" si="3">IFERROR(MEDIAN(C12:L12),0)</f>
        <v>0.23433872524929703</v>
      </c>
    </row>
    <row r="13" spans="1:15" x14ac:dyDescent="0.3">
      <c r="B13" t="s">
        <v>138</v>
      </c>
      <c r="C13" s="10">
        <f>IFERROR((HistoricalFS!C30+HistoricalFS!C27)/HistoricalFS!C6,0)</f>
        <v>0.17779386044267534</v>
      </c>
      <c r="D13" s="10">
        <f>IFERROR((HistoricalFS!D30+HistoricalFS!D27)/HistoricalFS!D6,0)</f>
        <v>0.19634266422844282</v>
      </c>
      <c r="E13" s="10">
        <f>IFERROR((HistoricalFS!E30+HistoricalFS!E27)/HistoricalFS!E6,0)</f>
        <v>0.21152378529636226</v>
      </c>
      <c r="F13" s="10">
        <f>IFERROR((HistoricalFS!F30+HistoricalFS!F27)/HistoricalFS!F6,0)</f>
        <v>0.22268305557650253</v>
      </c>
      <c r="G13" s="10">
        <f>IFERROR((HistoricalFS!G30+HistoricalFS!G27)/HistoricalFS!G6,0)</f>
        <v>0.22437696691332823</v>
      </c>
      <c r="H13" s="10">
        <f>IFERROR((HistoricalFS!H30+HistoricalFS!H27)/HistoricalFS!H6,0)</f>
        <v>0.22434504061320215</v>
      </c>
      <c r="I13" s="10">
        <f>IFERROR((HistoricalFS!I30+HistoricalFS!I27)/HistoricalFS!I6,0)</f>
        <v>0.21475734565863322</v>
      </c>
      <c r="J13" s="10">
        <f>IFERROR((HistoricalFS!J30+HistoricalFS!J27)/HistoricalFS!J6,0)</f>
        <v>0.21718689414501746</v>
      </c>
      <c r="K13" s="10">
        <f>IFERROR((HistoricalFS!K30+HistoricalFS!K27)/HistoricalFS!K6,0)</f>
        <v>0.21368482755342913</v>
      </c>
      <c r="L13" s="10">
        <f>IFERROR((HistoricalFS!#REF!+HistoricalFS!#REF!)/HistoricalFS!#REF!,0)</f>
        <v>0</v>
      </c>
      <c r="N13" s="10">
        <f t="shared" si="2"/>
        <v>0.19026944404275931</v>
      </c>
      <c r="O13" s="10">
        <f t="shared" si="3"/>
        <v>0.21422108660603117</v>
      </c>
    </row>
    <row r="14" spans="1:15" x14ac:dyDescent="0.3">
      <c r="B14" t="s">
        <v>139</v>
      </c>
      <c r="C14" s="10">
        <f>IFERROR(HistoricalFS!C31,0)</f>
        <v>0.17673843555877208</v>
      </c>
      <c r="D14" s="10">
        <f>IFERROR(HistoricalFS!D31,0)</f>
        <v>0.19561119707413138</v>
      </c>
      <c r="E14" s="10">
        <f>IFERROR(HistoricalFS!E31,0)</f>
        <v>0.21068430424828288</v>
      </c>
      <c r="F14" s="10">
        <f>IFERROR(HistoricalFS!F31,0)</f>
        <v>0.21971696453258929</v>
      </c>
      <c r="G14" s="10">
        <f>IFERROR(HistoricalFS!G31,0)</f>
        <v>0.22188908735221571</v>
      </c>
      <c r="H14" s="10">
        <f>IFERROR(HistoricalFS!H31,0)</f>
        <v>0.22232391412119132</v>
      </c>
      <c r="I14" s="10">
        <f>IFERROR(HistoricalFS!I31,0)</f>
        <v>0.21287553648068669</v>
      </c>
      <c r="J14" s="10">
        <f>IFERROR(HistoricalFS!J31,0)</f>
        <v>0.2117907457670932</v>
      </c>
      <c r="K14" s="10">
        <f>IFERROR(HistoricalFS!K31,0)</f>
        <v>0.20742700527558183</v>
      </c>
      <c r="L14" s="10">
        <f>IFERROR(HistoricalFS!#REF!,0)</f>
        <v>0</v>
      </c>
      <c r="N14" s="10">
        <f t="shared" si="2"/>
        <v>0.18790571904105441</v>
      </c>
      <c r="O14" s="10">
        <f t="shared" si="3"/>
        <v>0.21123752500768805</v>
      </c>
    </row>
    <row r="15" spans="1:15" x14ac:dyDescent="0.3">
      <c r="B15" t="s">
        <v>140</v>
      </c>
      <c r="C15" s="10">
        <f>IFERROR(HistoricalFS!C37,0)</f>
        <v>0.11712200711657922</v>
      </c>
      <c r="D15" s="10">
        <f>IFERROR(HistoricalFS!D37,0)</f>
        <v>0.1371219580813054</v>
      </c>
      <c r="E15" s="10">
        <f>IFERROR(HistoricalFS!E37,0)</f>
        <v>0.14596794708725516</v>
      </c>
      <c r="F15" s="10">
        <f>IFERROR(HistoricalFS!F37,0)</f>
        <v>0.15916346178015736</v>
      </c>
      <c r="G15" s="10">
        <f>IFERROR(HistoricalFS!G37,0)</f>
        <v>0.16647529131581185</v>
      </c>
      <c r="H15" s="10">
        <f>IFERROR(HistoricalFS!H37,0)</f>
        <v>0.16537009495481067</v>
      </c>
      <c r="I15" s="10">
        <f>IFERROR(HistoricalFS!I37,0)</f>
        <v>0.16003631561571477</v>
      </c>
      <c r="J15" s="10">
        <f>IFERROR(HistoricalFS!J37,0)</f>
        <v>0.15291779759596744</v>
      </c>
      <c r="K15" s="10">
        <f>IFERROR(HistoricalFS!K37,0)</f>
        <v>0.14811235563441644</v>
      </c>
      <c r="L15" s="10">
        <f>IFERROR(HistoricalFS!#REF!,0)</f>
        <v>0</v>
      </c>
      <c r="N15" s="10">
        <f t="shared" si="2"/>
        <v>0.13522872291820182</v>
      </c>
      <c r="O15" s="10">
        <f t="shared" si="3"/>
        <v>0.15051507661519192</v>
      </c>
    </row>
    <row r="16" spans="1:15" x14ac:dyDescent="0.3">
      <c r="A16" s="33"/>
      <c r="B16" s="31"/>
      <c r="C16" s="31"/>
      <c r="D16" s="31"/>
      <c r="E16" s="31"/>
      <c r="F16" s="31"/>
      <c r="G16" s="31"/>
      <c r="H16" s="31"/>
      <c r="I16" s="31"/>
      <c r="J16" s="31"/>
      <c r="K16" s="31"/>
      <c r="L16" s="31"/>
      <c r="M16" s="31"/>
      <c r="N16" s="31"/>
      <c r="O16" s="31"/>
    </row>
    <row r="17" spans="1:15" x14ac:dyDescent="0.3">
      <c r="B17" t="s">
        <v>141</v>
      </c>
      <c r="C17" s="10">
        <f>IFERROR(HistoricalFS!C16,0)</f>
        <v>0.43689424364123158</v>
      </c>
      <c r="D17" s="10">
        <f>IFERROR(HistoricalFS!D16,0)</f>
        <v>0.45210727969348657</v>
      </c>
      <c r="E17" s="10">
        <f>IFERROR(HistoricalFS!E16,0)</f>
        <v>0.4434799108201698</v>
      </c>
      <c r="F17" s="10">
        <f>IFERROR(HistoricalFS!F16,0)</f>
        <v>0.45153778985155718</v>
      </c>
      <c r="G17" s="10">
        <f>IFERROR(HistoricalFS!G16,0)</f>
        <v>0.39923323188806764</v>
      </c>
      <c r="H17" s="10">
        <f>IFERROR(HistoricalFS!H16,0)</f>
        <v>0.36203812014037018</v>
      </c>
      <c r="I17" s="10">
        <f>IFERROR(HistoricalFS!I16,0)</f>
        <v>0.31237104660693593</v>
      </c>
      <c r="J17" s="10">
        <f>IFERROR(HistoricalFS!J16,0)</f>
        <v>0.40373242994264658</v>
      </c>
      <c r="K17" s="10">
        <f>IFERROR(HistoricalFS!K16,0)</f>
        <v>0.39818703119117266</v>
      </c>
      <c r="L17" s="10">
        <f>IFERROR(HistoricalFS!#REF!,0)</f>
        <v>0</v>
      </c>
      <c r="N17" s="10">
        <f t="shared" si="2"/>
        <v>0.36595810837756382</v>
      </c>
      <c r="O17" s="10">
        <f t="shared" si="3"/>
        <v>0.40148283091535708</v>
      </c>
    </row>
    <row r="18" spans="1:15" x14ac:dyDescent="0.3">
      <c r="B18" t="s">
        <v>142</v>
      </c>
      <c r="C18" s="10">
        <f>IFERROR(HistoricalFS!C22,0)</f>
        <v>1.3026958567034558E-2</v>
      </c>
      <c r="D18" s="10">
        <f>IFERROR(HistoricalFS!D22,0)</f>
        <v>1.4629343086228723E-2</v>
      </c>
      <c r="E18" s="10">
        <f>IFERROR(HistoricalFS!E22,0)</f>
        <v>1.437293309590435E-2</v>
      </c>
      <c r="F18" s="10">
        <f>IFERROR(HistoricalFS!F22,0)</f>
        <v>2.5186637508483524E-2</v>
      </c>
      <c r="G18" s="10">
        <f>IFERROR(HistoricalFS!G22,0)</f>
        <v>2.2837458535340648E-2</v>
      </c>
      <c r="H18" s="10">
        <f>IFERROR(HistoricalFS!H22,0)</f>
        <v>2.0802349082866187E-2</v>
      </c>
      <c r="I18" s="10">
        <f>IFERROR(HistoricalFS!I22,0)</f>
        <v>1.8768570485308684E-2</v>
      </c>
      <c r="J18" s="10">
        <f>IFERROR(HistoricalFS!J22,0)</f>
        <v>1.9645857567532635E-2</v>
      </c>
      <c r="K18" s="10">
        <f>IFERROR(HistoricalFS!K22,0)</f>
        <v>2.1466706801223048E-2</v>
      </c>
      <c r="L18" s="10">
        <f>IFERROR(HistoricalFS!#REF!,0)</f>
        <v>0</v>
      </c>
      <c r="N18" s="10">
        <f t="shared" si="2"/>
        <v>1.7073681472992236E-2</v>
      </c>
      <c r="O18" s="10">
        <f t="shared" si="3"/>
        <v>1.9207214026420658E-2</v>
      </c>
    </row>
    <row r="19" spans="1:15" x14ac:dyDescent="0.3">
      <c r="B19" t="s">
        <v>143</v>
      </c>
      <c r="C19" s="10">
        <f>C12</f>
        <v>0.1908208190097099</v>
      </c>
      <c r="D19" s="10">
        <f t="shared" ref="D19:L19" si="4">D12</f>
        <v>0.21097200731467156</v>
      </c>
      <c r="E19" s="10">
        <f t="shared" si="4"/>
        <v>0.2258967183922666</v>
      </c>
      <c r="F19" s="10">
        <f t="shared" si="4"/>
        <v>0.24786969308498605</v>
      </c>
      <c r="G19" s="10">
        <f t="shared" si="4"/>
        <v>0.24721442544866887</v>
      </c>
      <c r="H19" s="10">
        <f t="shared" si="4"/>
        <v>0.24514738969606834</v>
      </c>
      <c r="I19" s="10">
        <f t="shared" si="4"/>
        <v>0.23352591614394189</v>
      </c>
      <c r="J19" s="10">
        <f t="shared" si="4"/>
        <v>0.23683275171255008</v>
      </c>
      <c r="K19" s="10">
        <f t="shared" si="4"/>
        <v>0.23515153435465216</v>
      </c>
      <c r="L19" s="10">
        <f t="shared" si="4"/>
        <v>0</v>
      </c>
      <c r="N19" s="10">
        <f t="shared" si="2"/>
        <v>0.20734312551575154</v>
      </c>
      <c r="O19" s="10">
        <f t="shared" si="3"/>
        <v>0.23433872524929703</v>
      </c>
    </row>
    <row r="20" spans="1:15" x14ac:dyDescent="0.3">
      <c r="A20" s="33"/>
      <c r="B20" s="31"/>
      <c r="C20" s="31"/>
      <c r="D20" s="31"/>
      <c r="E20" s="31"/>
      <c r="F20" s="31"/>
      <c r="G20" s="31"/>
      <c r="H20" s="31"/>
      <c r="I20" s="31"/>
      <c r="J20" s="31"/>
      <c r="K20" s="31"/>
      <c r="L20" s="31"/>
      <c r="M20" s="31"/>
      <c r="N20" s="31"/>
      <c r="O20" s="31"/>
    </row>
    <row r="21" spans="1:15" x14ac:dyDescent="0.3">
      <c r="B21" t="s">
        <v>144</v>
      </c>
      <c r="C21" s="10">
        <f>IFERROR((HistoricalFS!C30+HistoricalFS!C27)/(SUM(HistoricalFS!C50:C52)),0)</f>
        <v>0.83976641504059246</v>
      </c>
      <c r="D21" s="10">
        <f>IFERROR((HistoricalFS!D30+HistoricalFS!D27)/(SUM(HistoricalFS!D50:D52)),0)</f>
        <v>0.95852218101909081</v>
      </c>
      <c r="E21" s="10">
        <f>IFERROR((HistoricalFS!E30+HistoricalFS!E27)/(SUM(HistoricalFS!E50:E52)),0)</f>
        <v>1.0438111975897564</v>
      </c>
      <c r="F21" s="10">
        <f>IFERROR((HistoricalFS!F30+HistoricalFS!F27)/(SUM(HistoricalFS!F50:F52)),0)</f>
        <v>1.0765585125774699</v>
      </c>
      <c r="G21" s="10">
        <f>IFERROR((HistoricalFS!G30+HistoricalFS!G27)/(SUM(HistoricalFS!G50:G52)),0)</f>
        <v>0.22133657758946176</v>
      </c>
      <c r="H21" s="10">
        <f>IFERROR((HistoricalFS!H30+HistoricalFS!H27)/(SUM(HistoricalFS!H50:H52)),0)</f>
        <v>0.23483155037521955</v>
      </c>
      <c r="I21" s="10">
        <f>IFERROR((HistoricalFS!I30+HistoricalFS!I27)/(SUM(HistoricalFS!I50:I52)),0)</f>
        <v>0.25250858839741475</v>
      </c>
      <c r="J21" s="10">
        <f>IFERROR((HistoricalFS!J30+HistoricalFS!J27)/(SUM(HistoricalFS!J50:J52)),0)</f>
        <v>0.25507570870175705</v>
      </c>
      <c r="K21" s="10">
        <f>IFERROR((HistoricalFS!K30+HistoricalFS!K27)/(SUM(HistoricalFS!K50:K52)),0)</f>
        <v>0.26421155729676787</v>
      </c>
      <c r="L21" s="10">
        <f>IFERROR((HistoricalFS!#REF!+HistoricalFS!#REF!)/(SUM(HistoricalFS!#REF!)),0)</f>
        <v>0</v>
      </c>
      <c r="N21" s="10">
        <f t="shared" si="2"/>
        <v>0.51466222885875312</v>
      </c>
      <c r="O21" s="10">
        <f t="shared" si="3"/>
        <v>0.25964363299926246</v>
      </c>
    </row>
    <row r="22" spans="1:15" x14ac:dyDescent="0.3">
      <c r="B22" t="s">
        <v>145</v>
      </c>
      <c r="C22" s="10">
        <f>IFERROR(HistoricalFS!C47,0)</f>
        <v>5.4582904222451045E-2</v>
      </c>
      <c r="D22" s="10">
        <f>IFERROR(HistoricalFS!D47,0)</f>
        <v>0.11366434140336479</v>
      </c>
      <c r="E22" s="10">
        <f>IFERROR(HistoricalFS!E47,0)</f>
        <v>0.17183687696061345</v>
      </c>
      <c r="F22" s="10">
        <f>IFERROR(HistoricalFS!F47,0)</f>
        <v>0.14718888186986734</v>
      </c>
      <c r="G22" s="10">
        <f>IFERROR(HistoricalFS!G47,0)</f>
        <v>0</v>
      </c>
      <c r="H22" s="10">
        <f>IFERROR(HistoricalFS!H47,0)</f>
        <v>7.8750144125446675E-2</v>
      </c>
      <c r="I22" s="10">
        <f>IFERROR(HistoricalFS!I47,0)</f>
        <v>5.4667354306343507E-2</v>
      </c>
      <c r="J22" s="10">
        <f>IFERROR(HistoricalFS!J47,0)</f>
        <v>0</v>
      </c>
      <c r="K22" s="10">
        <f>IFERROR(HistoricalFS!K47,0)</f>
        <v>0</v>
      </c>
      <c r="L22" s="10">
        <f>IFERROR(HistoricalFS!#REF!,0)</f>
        <v>0</v>
      </c>
      <c r="N22" s="10">
        <f t="shared" si="2"/>
        <v>6.2069050288808679E-2</v>
      </c>
      <c r="O22" s="10">
        <f t="shared" si="3"/>
        <v>5.4625129264397276E-2</v>
      </c>
    </row>
    <row r="23" spans="1:15" x14ac:dyDescent="0.3">
      <c r="B23" t="s">
        <v>146</v>
      </c>
      <c r="C23" s="10">
        <f>IFERROR(HistoricalFS!C36/(SUM(HistoricalFS!C50:C52)),0)</f>
        <v>0.55319755020652328</v>
      </c>
      <c r="D23" s="10">
        <f>IFERROR(HistoricalFS!D36/(SUM(HistoricalFS!D50:D52)),0)</f>
        <v>0.6694135420958659</v>
      </c>
      <c r="E23" s="10">
        <f>IFERROR(HistoricalFS!E36/(SUM(HistoricalFS!E50:E52)),0)</f>
        <v>0.72031132312327395</v>
      </c>
      <c r="F23" s="10">
        <f>IFERROR(HistoricalFS!F36/(SUM(HistoricalFS!F50:F52)),0)</f>
        <v>0.76947381212784061</v>
      </c>
      <c r="G23" s="10">
        <f>IFERROR(HistoricalFS!G36/(SUM(HistoricalFS!G50:G52)),0)</f>
        <v>0.16421949070772329</v>
      </c>
      <c r="H23" s="10">
        <f>IFERROR(HistoricalFS!H36/(SUM(HistoricalFS!H50:H52)),0)</f>
        <v>0.17309995209963278</v>
      </c>
      <c r="I23" s="10">
        <f>IFERROR(HistoricalFS!I36/(SUM(HistoricalFS!I50:I52)),0)</f>
        <v>0.18816839081575218</v>
      </c>
      <c r="J23" s="10">
        <f>IFERROR(HistoricalFS!J36/(SUM(HistoricalFS!J50:J52)),0)</f>
        <v>0.17959470228833821</v>
      </c>
      <c r="K23" s="10">
        <f>IFERROR(HistoricalFS!K36/(SUM(HistoricalFS!K50:K52)),0)</f>
        <v>0.18313418217433888</v>
      </c>
      <c r="L23" s="10">
        <f>IFERROR(HistoricalFS!#REF!/(SUM(HistoricalFS!#REF!)),0)</f>
        <v>0</v>
      </c>
      <c r="N23" s="10">
        <f t="shared" si="2"/>
        <v>0.36006129456392894</v>
      </c>
      <c r="O23" s="10">
        <f t="shared" si="3"/>
        <v>0.18565128649504553</v>
      </c>
    </row>
    <row r="24" spans="1:15" x14ac:dyDescent="0.3">
      <c r="B24" t="s">
        <v>147</v>
      </c>
      <c r="C24" s="10">
        <f>IFERROR(C22*C23,0)</f>
        <v>3.0195128899017213E-2</v>
      </c>
      <c r="D24" s="10">
        <f t="shared" ref="D24:L24" si="5">IFERROR(D22*D23,0)</f>
        <v>7.6088449388820215E-2</v>
      </c>
      <c r="E24" s="10">
        <f t="shared" si="5"/>
        <v>0.1237760482048707</v>
      </c>
      <c r="F24" s="10">
        <f t="shared" si="5"/>
        <v>0.11325799003524123</v>
      </c>
      <c r="G24" s="10">
        <f t="shared" si="5"/>
        <v>0</v>
      </c>
      <c r="H24" s="10">
        <f t="shared" si="5"/>
        <v>1.3631646175953997E-2</v>
      </c>
      <c r="I24" s="10">
        <f t="shared" si="5"/>
        <v>1.0286668089979238E-2</v>
      </c>
      <c r="J24" s="10">
        <f t="shared" si="5"/>
        <v>0</v>
      </c>
      <c r="K24" s="10">
        <f t="shared" si="5"/>
        <v>0</v>
      </c>
      <c r="L24" s="10">
        <f t="shared" si="5"/>
        <v>0</v>
      </c>
      <c r="N24" s="10">
        <f t="shared" si="2"/>
        <v>3.6723593079388259E-2</v>
      </c>
      <c r="O24" s="10">
        <f t="shared" si="3"/>
        <v>1.1959157132966618E-2</v>
      </c>
    </row>
    <row r="25" spans="1:15" x14ac:dyDescent="0.3">
      <c r="B25" t="s">
        <v>148</v>
      </c>
      <c r="C25" s="28">
        <f>IFERROR((HistoricalFS!C30+HistoricalFS!C27)/HistoricalFS!C27,0)</f>
        <v>168.45714285714286</v>
      </c>
      <c r="D25" s="28">
        <f>IFERROR((HistoricalFS!D30+HistoricalFS!D27)/HistoricalFS!D27,0)</f>
        <v>268.42307692307691</v>
      </c>
      <c r="E25" s="28">
        <f>IFERROR((HistoricalFS!E30+HistoricalFS!E27)/HistoricalFS!E27,0)</f>
        <v>251.96969696969697</v>
      </c>
      <c r="F25" s="28">
        <f>IFERROR((HistoricalFS!F30+HistoricalFS!F27)/HistoricalFS!F27,0)</f>
        <v>75.076271186440678</v>
      </c>
      <c r="G25" s="28">
        <f>IFERROR((HistoricalFS!G30+HistoricalFS!G27)/HistoricalFS!G27,0)</f>
        <v>90.188034188034194</v>
      </c>
      <c r="H25" s="28">
        <f>IFERROR((HistoricalFS!H30+HistoricalFS!H27)/HistoricalFS!H27,0)</f>
        <v>111</v>
      </c>
      <c r="I25" s="28">
        <f>IFERROR((HistoricalFS!I30+HistoricalFS!I27)/HistoricalFS!I27,0)</f>
        <v>114.12280701754386</v>
      </c>
      <c r="J25" s="28">
        <f>IFERROR((HistoricalFS!J30+HistoricalFS!J27)/HistoricalFS!J27,0)</f>
        <v>40.248502994011979</v>
      </c>
      <c r="K25" s="28">
        <f>IFERROR((HistoricalFS!K30+HistoricalFS!K27)/HistoricalFS!K27,0)</f>
        <v>34.146835443037972</v>
      </c>
      <c r="L25" s="28">
        <f>IFERROR((HistoricalFS!#REF!+HistoricalFS!#REF!)/HistoricalFS!#REF!,0)</f>
        <v>0</v>
      </c>
      <c r="N25" s="28">
        <f t="shared" si="2"/>
        <v>115.36323675789853</v>
      </c>
      <c r="O25" s="28">
        <f t="shared" si="3"/>
        <v>100.59401709401709</v>
      </c>
    </row>
    <row r="26" spans="1:15" x14ac:dyDescent="0.3">
      <c r="A26" s="33"/>
      <c r="B26" s="31"/>
      <c r="C26" s="31"/>
      <c r="D26" s="31"/>
      <c r="E26" s="31"/>
      <c r="F26" s="31"/>
      <c r="G26" s="31"/>
      <c r="H26" s="31"/>
      <c r="I26" s="31"/>
      <c r="J26" s="31"/>
      <c r="K26" s="31"/>
      <c r="L26" s="31"/>
      <c r="M26" s="31"/>
      <c r="N26" s="31"/>
      <c r="O26" s="31"/>
    </row>
    <row r="27" spans="1:15" x14ac:dyDescent="0.3">
      <c r="B27" t="s">
        <v>150</v>
      </c>
      <c r="C27" s="28">
        <f>IFERROR(HistoricalFS!C6/HistoricalFS!C62,0)</f>
        <v>30.56405529953917</v>
      </c>
      <c r="D27" s="28">
        <f>IFERROR(HistoricalFS!D6/HistoricalFS!D62,0)</f>
        <v>27.133587786259543</v>
      </c>
      <c r="E27" s="28">
        <f>IFERROR(HistoricalFS!E6/HistoricalFS!E62,0)</f>
        <v>21.646475770925111</v>
      </c>
      <c r="F27" s="28">
        <f>IFERROR(HistoricalFS!F6/HistoricalFS!F62,0)</f>
        <v>34.624020887728463</v>
      </c>
      <c r="G27" s="28">
        <f>IFERROR(HistoricalFS!G6/HistoricalFS!G62,0)</f>
        <v>26.750853242320819</v>
      </c>
      <c r="H27" s="28">
        <f>IFERROR(HistoricalFS!H6/HistoricalFS!H62,0)</f>
        <v>23.455277280858677</v>
      </c>
      <c r="I27" s="28">
        <f>IFERROR(HistoricalFS!I6/HistoricalFS!I62,0)</f>
        <v>19.67521922702176</v>
      </c>
      <c r="J27" s="28">
        <f>IFERROR(HistoricalFS!J6/HistoricalFS!J62,0)</f>
        <v>20.652652652652652</v>
      </c>
      <c r="K27" s="28">
        <f>IFERROR(HistoricalFS!K6/HistoricalFS!K62,0)</f>
        <v>16.52814873003404</v>
      </c>
      <c r="L27" s="28">
        <f>IFERROR(HistoricalFS!#REF!/HistoricalFS!#REF!,0)</f>
        <v>0</v>
      </c>
      <c r="N27" s="28">
        <f t="shared" si="2"/>
        <v>22.103029087734022</v>
      </c>
      <c r="O27" s="28">
        <f t="shared" si="3"/>
        <v>22.550876525891894</v>
      </c>
    </row>
    <row r="28" spans="1:15" x14ac:dyDescent="0.3">
      <c r="B28" t="s">
        <v>149</v>
      </c>
      <c r="C28" s="28">
        <f>IFERROR(HistoricalFS!C6/HistoricalFS!C53,0)</f>
        <v>3.818307426597582</v>
      </c>
      <c r="D28" s="28">
        <f>IFERROR(HistoricalFS!D6/HistoricalFS!D53,0)</f>
        <v>3.3593233153766184</v>
      </c>
      <c r="E28" s="28">
        <f>IFERROR(HistoricalFS!E6/HistoricalFS!E53,0)</f>
        <v>3.6865797617931162</v>
      </c>
      <c r="F28" s="28">
        <f>IFERROR(HistoricalFS!F6/HistoricalFS!F53,0)</f>
        <v>3.3363804092586382</v>
      </c>
      <c r="G28" s="28">
        <f>IFERROR(HistoricalFS!G6/HistoricalFS!G53,0)</f>
        <v>2.2324124181144973</v>
      </c>
      <c r="H28" s="28">
        <f>IFERROR(HistoricalFS!H6/HistoricalFS!H53,0)</f>
        <v>2.5706303303597688</v>
      </c>
      <c r="I28" s="28">
        <f>IFERROR(HistoricalFS!I6/HistoricalFS!I53,0)</f>
        <v>2.8106151990349817</v>
      </c>
      <c r="J28" s="28">
        <f>IFERROR(HistoricalFS!J6/HistoricalFS!J53,0)</f>
        <v>2.4002792104548805</v>
      </c>
      <c r="K28" s="28">
        <f>IFERROR(HistoricalFS!K6/HistoricalFS!K53,0)</f>
        <v>2.1907125255960853</v>
      </c>
      <c r="L28" s="28">
        <f>IFERROR(HistoricalFS!#REF!/HistoricalFS!#REF!,0)</f>
        <v>0</v>
      </c>
      <c r="N28" s="28">
        <f t="shared" si="2"/>
        <v>2.6405240596586168</v>
      </c>
      <c r="O28" s="28">
        <f t="shared" si="3"/>
        <v>2.690622764697375</v>
      </c>
    </row>
    <row r="29" spans="1:15" x14ac:dyDescent="0.3">
      <c r="B29" t="s">
        <v>152</v>
      </c>
      <c r="C29" s="28">
        <f>IFERROR(HistoricalFS!C6/HistoricalFS!C63,0)</f>
        <v>13.050767414403778</v>
      </c>
      <c r="D29" s="28">
        <f>IFERROR(HistoricalFS!D6/HistoricalFS!D63,0)</f>
        <v>14.144448865897333</v>
      </c>
      <c r="E29" s="28">
        <f>IFERROR(HistoricalFS!E6/HistoricalFS!E63,0)</f>
        <v>15.271950271950272</v>
      </c>
      <c r="F29" s="28">
        <f>IFERROR(HistoricalFS!F6/HistoricalFS!F63,0)</f>
        <v>14.377665341525118</v>
      </c>
      <c r="G29" s="28">
        <f>IFERROR(HistoricalFS!G6/HistoricalFS!G63,0)</f>
        <v>13.139983235540655</v>
      </c>
      <c r="H29" s="28">
        <f>IFERROR(HistoricalFS!H6/HistoricalFS!H63,0)</f>
        <v>12.80419921875</v>
      </c>
      <c r="I29" s="28">
        <f>IFERROR(HistoricalFS!I6/HistoricalFS!I63,0)</f>
        <v>14.250764525993883</v>
      </c>
      <c r="J29" s="28">
        <f>IFERROR(HistoricalFS!J6/HistoricalFS!J63,0)</f>
        <v>15.389358528095475</v>
      </c>
      <c r="K29" s="28">
        <f>IFERROR(HistoricalFS!K6/HistoricalFS!K63,0)</f>
        <v>14.296942242355605</v>
      </c>
      <c r="L29" s="28">
        <f>IFERROR(HistoricalFS!#REF!/HistoricalFS!#REF!,0)</f>
        <v>0</v>
      </c>
      <c r="N29" s="28">
        <f t="shared" si="2"/>
        <v>12.672607964451212</v>
      </c>
      <c r="O29" s="28">
        <f t="shared" si="3"/>
        <v>14.197606695945609</v>
      </c>
    </row>
    <row r="30" spans="1:15" x14ac:dyDescent="0.3">
      <c r="B30" t="s">
        <v>151</v>
      </c>
      <c r="C30" s="28">
        <f>IFERROR(HistoricalFS!C6/HistoricalFS!C56,0)</f>
        <v>7.5044127630685677</v>
      </c>
      <c r="D30" s="28" t="s">
        <v>131</v>
      </c>
      <c r="E30" s="28">
        <f>IFERROR(HistoricalFS!E6/HistoricalFS!E56,0)</f>
        <v>8.3372216330858961</v>
      </c>
      <c r="F30" s="28">
        <f>IFERROR(HistoricalFS!F6/HistoricalFS!F56,0)</f>
        <v>7.2609965322139081</v>
      </c>
      <c r="G30" s="28">
        <f>IFERROR(HistoricalFS!G6/HistoricalFS!G56,0)</f>
        <v>0.91417685593763975</v>
      </c>
      <c r="H30" s="28">
        <f>IFERROR(HistoricalFS!H6/HistoricalFS!H56,0)</f>
        <v>1.018903114254075</v>
      </c>
      <c r="I30" s="28">
        <f>IFERROR(HistoricalFS!I6/HistoricalFS!I56,0)</f>
        <v>1.1500056949770303</v>
      </c>
      <c r="J30" s="28">
        <f>IFERROR(HistoricalFS!J6/HistoricalFS!J56,0)</f>
        <v>1.1516820482286394</v>
      </c>
      <c r="K30" s="28">
        <f>IFERROR(HistoricalFS!K6/HistoricalFS!K56,0)</f>
        <v>1.1617005613324745</v>
      </c>
      <c r="L30" s="28">
        <f>IFERROR(HistoricalFS!#REF!/HistoricalFS!#REF!,0)</f>
        <v>0</v>
      </c>
      <c r="N30" s="28">
        <f t="shared" si="2"/>
        <v>3.1665665781220258</v>
      </c>
      <c r="O30" s="28">
        <f t="shared" si="3"/>
        <v>1.1516820482286394</v>
      </c>
    </row>
    <row r="31" spans="1:15" x14ac:dyDescent="0.3">
      <c r="B31" t="s">
        <v>153</v>
      </c>
      <c r="C31" s="28">
        <f>IFERROR(HistoricalFS!C6/(SUM(HistoricalFS!C50:C51)),0)</f>
        <v>4.9172597864768681</v>
      </c>
      <c r="D31" s="28">
        <f>IFERROR(HistoricalFS!D6/(SUM(HistoricalFS!D50:D51)),0)</f>
        <v>4.8818843565444308</v>
      </c>
      <c r="E31" s="28">
        <f>IFERROR(HistoricalFS!E6/(SUM(HistoricalFS!E50:E51)),0)</f>
        <v>4.9968221685521801</v>
      </c>
      <c r="F31" s="28">
        <f>IFERROR(HistoricalFS!F6/(SUM(HistoricalFS!F50:F51)),0)</f>
        <v>4.8344877870944218</v>
      </c>
      <c r="G31" s="28">
        <f>IFERROR(HistoricalFS!G6/(SUM(HistoricalFS!G50:G51)),0)</f>
        <v>0.98644963711876499</v>
      </c>
      <c r="H31" s="28">
        <f>IFERROR(HistoricalFS!H6/(SUM(HistoricalFS!H50:H51)),0)</f>
        <v>1.0689957399971464</v>
      </c>
      <c r="I31" s="28">
        <f>IFERROR(HistoricalFS!I6/(SUM(HistoricalFS!I50:I51)),0)</f>
        <v>1.2042779898218829</v>
      </c>
      <c r="J31" s="28">
        <f>IFERROR(HistoricalFS!J6/(SUM(HistoricalFS!J50:J51)),0)</f>
        <v>1.2084813932601819</v>
      </c>
      <c r="K31" s="28">
        <f>IFERROR(HistoricalFS!K6/(SUM(HistoricalFS!K50:K51)),0)</f>
        <v>1.2777013076393668</v>
      </c>
      <c r="L31" s="28">
        <f>IFERROR(HistoricalFS!#REF!/(SUM(HistoricalFS!#REF!)),0)</f>
        <v>0</v>
      </c>
      <c r="N31" s="28">
        <f t="shared" si="2"/>
        <v>2.5376360166505245</v>
      </c>
      <c r="O31" s="28">
        <f t="shared" si="3"/>
        <v>1.2430913504497743</v>
      </c>
    </row>
    <row r="32" spans="1:15" x14ac:dyDescent="0.3">
      <c r="A32" s="33"/>
      <c r="B32" s="31"/>
      <c r="C32" s="31"/>
      <c r="D32" s="31"/>
      <c r="E32" s="31"/>
      <c r="F32" s="31"/>
      <c r="G32" s="31"/>
      <c r="H32" s="31"/>
      <c r="I32" s="31"/>
      <c r="J32" s="31"/>
      <c r="K32" s="31"/>
      <c r="L32" s="31"/>
      <c r="M32" s="31"/>
      <c r="N32" s="31"/>
      <c r="O32" s="31"/>
    </row>
    <row r="33" spans="1:15" x14ac:dyDescent="0.3">
      <c r="B33" t="s">
        <v>154</v>
      </c>
      <c r="C33" s="30">
        <f>IFERROR(365/C27,0)</f>
        <v>11.942132561365419</v>
      </c>
      <c r="D33" s="30">
        <f t="shared" ref="D33:L33" si="6">IFERROR(365/D27,0)</f>
        <v>13.4519623013082</v>
      </c>
      <c r="E33" s="30">
        <f t="shared" si="6"/>
        <v>16.861867209361485</v>
      </c>
      <c r="F33" s="30">
        <f t="shared" si="6"/>
        <v>10.541814342809742</v>
      </c>
      <c r="G33" s="30">
        <f t="shared" si="6"/>
        <v>13.644424598111764</v>
      </c>
      <c r="H33" s="30">
        <f t="shared" si="6"/>
        <v>15.561529954619989</v>
      </c>
      <c r="I33" s="30">
        <f t="shared" si="6"/>
        <v>18.551254539451964</v>
      </c>
      <c r="J33" s="30">
        <f t="shared" si="6"/>
        <v>17.673274525009695</v>
      </c>
      <c r="K33" s="30">
        <f t="shared" si="6"/>
        <v>22.08353796676225</v>
      </c>
      <c r="L33" s="30">
        <f t="shared" si="6"/>
        <v>0</v>
      </c>
      <c r="N33" s="30">
        <f t="shared" si="2"/>
        <v>14.03117979988005</v>
      </c>
      <c r="O33" s="30">
        <f t="shared" si="3"/>
        <v>14.602977276365877</v>
      </c>
    </row>
    <row r="34" spans="1:15" x14ac:dyDescent="0.3">
      <c r="B34" t="s">
        <v>155</v>
      </c>
      <c r="C34" s="29">
        <f>IFERROR(365/C28,0)</f>
        <v>95.592093359869736</v>
      </c>
      <c r="D34" s="29">
        <f t="shared" ref="D34:L34" si="7">IFERROR(365/D28,0)</f>
        <v>108.65283443522296</v>
      </c>
      <c r="E34" s="29">
        <f t="shared" si="7"/>
        <v>99.007758839989833</v>
      </c>
      <c r="F34" s="29">
        <f t="shared" si="7"/>
        <v>109.39999497272704</v>
      </c>
      <c r="G34" s="29">
        <f t="shared" si="7"/>
        <v>163.50025516713447</v>
      </c>
      <c r="H34" s="29">
        <f t="shared" si="7"/>
        <v>141.98852152690384</v>
      </c>
      <c r="I34" s="29">
        <f t="shared" si="7"/>
        <v>129.86480686695279</v>
      </c>
      <c r="J34" s="29">
        <f t="shared" si="7"/>
        <v>152.06564236784283</v>
      </c>
      <c r="K34" s="29">
        <f t="shared" si="7"/>
        <v>166.61245861123871</v>
      </c>
      <c r="L34" s="29">
        <f t="shared" si="7"/>
        <v>0</v>
      </c>
      <c r="N34" s="30">
        <f t="shared" si="2"/>
        <v>116.66843661478822</v>
      </c>
      <c r="O34" s="30">
        <f t="shared" si="3"/>
        <v>119.63240091983991</v>
      </c>
    </row>
    <row r="35" spans="1:15" x14ac:dyDescent="0.3">
      <c r="B35" t="s">
        <v>156</v>
      </c>
      <c r="C35" s="29">
        <f>IFERROR(365/C29,0)</f>
        <v>27.967703998552562</v>
      </c>
      <c r="D35" s="29">
        <f t="shared" ref="D35:L35" si="8">IFERROR(365/D29,0)</f>
        <v>25.805176536784359</v>
      </c>
      <c r="E35" s="29">
        <f t="shared" si="8"/>
        <v>23.90002543881964</v>
      </c>
      <c r="F35" s="29">
        <f t="shared" si="8"/>
        <v>25.386597290299875</v>
      </c>
      <c r="G35" s="29">
        <f t="shared" si="8"/>
        <v>27.777813217657563</v>
      </c>
      <c r="H35" s="29">
        <f t="shared" si="8"/>
        <v>28.506273119017656</v>
      </c>
      <c r="I35" s="29">
        <f t="shared" si="8"/>
        <v>25.612660944206009</v>
      </c>
      <c r="J35" s="29">
        <f t="shared" si="8"/>
        <v>23.717687734263926</v>
      </c>
      <c r="K35" s="29">
        <f t="shared" si="8"/>
        <v>25.529934570111376</v>
      </c>
      <c r="L35" s="29">
        <f t="shared" si="8"/>
        <v>0</v>
      </c>
      <c r="N35" s="30">
        <f t="shared" si="2"/>
        <v>23.420387284971298</v>
      </c>
      <c r="O35" s="30">
        <f t="shared" si="3"/>
        <v>25.571297757158693</v>
      </c>
    </row>
    <row r="36" spans="1:15" x14ac:dyDescent="0.3">
      <c r="B36" t="s">
        <v>157</v>
      </c>
      <c r="C36" s="29">
        <f>SUM(C33,C35)-C34</f>
        <v>-55.682256799951759</v>
      </c>
      <c r="D36" s="29">
        <f t="shared" ref="D36:L36" si="9">SUM(D33,D35)-D34</f>
        <v>-69.395695597130398</v>
      </c>
      <c r="E36" s="29">
        <f t="shared" si="9"/>
        <v>-58.245866191808709</v>
      </c>
      <c r="F36" s="29">
        <f t="shared" si="9"/>
        <v>-73.471583339617425</v>
      </c>
      <c r="G36" s="29">
        <f t="shared" si="9"/>
        <v>-122.07801735136513</v>
      </c>
      <c r="H36" s="29">
        <f t="shared" si="9"/>
        <v>-97.92071845326619</v>
      </c>
      <c r="I36" s="29">
        <f t="shared" si="9"/>
        <v>-85.700891383294817</v>
      </c>
      <c r="J36" s="29">
        <f t="shared" si="9"/>
        <v>-110.67468010856921</v>
      </c>
      <c r="K36" s="29">
        <f t="shared" si="9"/>
        <v>-118.99898607436508</v>
      </c>
      <c r="L36" s="29">
        <f t="shared" si="9"/>
        <v>0</v>
      </c>
      <c r="N36" s="30">
        <f t="shared" si="2"/>
        <v>-79.216869529936872</v>
      </c>
      <c r="O36" s="30">
        <f t="shared" si="3"/>
        <v>-79.586237361456114</v>
      </c>
    </row>
    <row r="37" spans="1:15" x14ac:dyDescent="0.3">
      <c r="A37" s="33"/>
      <c r="B37" s="31"/>
      <c r="C37" s="31"/>
      <c r="D37" s="31"/>
      <c r="E37" s="31"/>
      <c r="F37" s="31"/>
      <c r="G37" s="31"/>
      <c r="H37" s="31"/>
      <c r="I37" s="31"/>
      <c r="J37" s="31"/>
      <c r="K37" s="31"/>
      <c r="L37" s="31"/>
      <c r="M37" s="31"/>
      <c r="N37" s="31"/>
      <c r="O37" s="31"/>
    </row>
    <row r="38" spans="1:15" x14ac:dyDescent="0.3">
      <c r="B38" t="s">
        <v>158</v>
      </c>
      <c r="C38" s="10">
        <f>IFERROR(HistoricalFS!C80/HistoricalFS!C6,0)</f>
        <v>1.3750678487425366E-2</v>
      </c>
      <c r="D38" s="10">
        <f>IFERROR(HistoricalFS!D80/HistoricalFS!D6,0)</f>
        <v>2.0509213672809116E-2</v>
      </c>
      <c r="E38" s="10">
        <f>IFERROR(HistoricalFS!E80/HistoricalFS!E6,0)</f>
        <v>2.0503688628847622E-2</v>
      </c>
      <c r="F38" s="10">
        <f>IFERROR(HistoricalFS!F80/HistoricalFS!F6,0)</f>
        <v>3.2199683281803788E-2</v>
      </c>
      <c r="G38" s="10">
        <f>IFERROR(HistoricalFS!G80/HistoricalFS!G6,0)</f>
        <v>2.9237900825040401E-2</v>
      </c>
      <c r="H38" s="10">
        <f>IFERROR(HistoricalFS!H80/HistoricalFS!H6,0)</f>
        <v>2.6179308240857263E-2</v>
      </c>
      <c r="I38" s="10">
        <f>IFERROR(HistoricalFS!I80/HistoricalFS!I6,0)</f>
        <v>4.3413667877187194E-2</v>
      </c>
      <c r="J38" s="10">
        <f>IFERROR(HistoricalFS!J80/HistoricalFS!J6,0)</f>
        <v>4.4348584722760757E-2</v>
      </c>
      <c r="K38" s="10">
        <f>IFERROR(HistoricalFS!K80/HistoricalFS!K6,0)</f>
        <v>3.9020294355285881E-2</v>
      </c>
      <c r="L38" s="10">
        <f>IFERROR(HistoricalFS!#REF!/HistoricalFS!#REF!,0)</f>
        <v>0</v>
      </c>
      <c r="N38" s="10">
        <f t="shared" si="2"/>
        <v>2.6916302009201743E-2</v>
      </c>
      <c r="O38" s="10">
        <f t="shared" si="3"/>
        <v>2.7708604532948832E-2</v>
      </c>
    </row>
    <row r="39" spans="1:15" x14ac:dyDescent="0.3">
      <c r="B39" t="s">
        <v>159</v>
      </c>
      <c r="C39" s="10">
        <f>IFERROR(HistoricalFS!C80/HistoricalFS!C67,0)</f>
        <v>2.9033490385839807E-2</v>
      </c>
      <c r="D39" s="10">
        <f>IFERROR(HistoricalFS!D80/HistoricalFS!D67,0)</f>
        <v>4.0812898891501512E-2</v>
      </c>
      <c r="E39" s="10">
        <f>IFERROR(HistoricalFS!E80/HistoricalFS!E67,0)</f>
        <v>4.3265875785066292E-2</v>
      </c>
      <c r="F39" s="10">
        <f>IFERROR(HistoricalFS!F80/HistoricalFS!F67,0)</f>
        <v>6.3563737408822513E-2</v>
      </c>
      <c r="G39" s="10">
        <f>IFERROR(HistoricalFS!G80/HistoricalFS!G67,0)</f>
        <v>2.0002909514111142E-2</v>
      </c>
      <c r="H39" s="10">
        <f>IFERROR(HistoricalFS!H80/HistoricalFS!H67,0)</f>
        <v>1.9473519984114826E-2</v>
      </c>
      <c r="I39" s="10">
        <f>IFERROR(HistoricalFS!I80/HistoricalFS!I67,0)</f>
        <v>3.5989435800593897E-2</v>
      </c>
      <c r="J39" s="10">
        <f>IFERROR(HistoricalFS!J80/HistoricalFS!J67,0)</f>
        <v>3.4973053548904939E-2</v>
      </c>
      <c r="K39" s="10">
        <f>IFERROR(HistoricalFS!K80/HistoricalFS!K67,0)</f>
        <v>3.0840314037789716E-2</v>
      </c>
      <c r="L39" s="10">
        <f>IFERROR(HistoricalFS!#REF!/HistoricalFS!#REF!,0)</f>
        <v>0</v>
      </c>
      <c r="N39" s="10">
        <f t="shared" si="2"/>
        <v>3.1795523535674462E-2</v>
      </c>
      <c r="O39" s="10">
        <f t="shared" si="3"/>
        <v>3.2906683793347324E-2</v>
      </c>
    </row>
    <row r="40" spans="1:15" ht="15" thickBot="1" x14ac:dyDescent="0.35">
      <c r="B40" s="32" t="s">
        <v>160</v>
      </c>
      <c r="C40" s="34">
        <f>IFERROR(HistoricalFS!C80/HistoricalFS!C52,0)</f>
        <v>1.6462093862815885</v>
      </c>
      <c r="D40" s="34">
        <f>IFERROR(HistoricalFS!D80/HistoricalFS!D52,0)</f>
        <v>0</v>
      </c>
      <c r="E40" s="34">
        <f>IFERROR(HistoricalFS!E80/HistoricalFS!E52,0)</f>
        <v>8.1414141414141419</v>
      </c>
      <c r="F40" s="34">
        <f>IFERROR(HistoricalFS!F80/HistoricalFS!F52,0)</f>
        <v>0</v>
      </c>
      <c r="G40" s="34">
        <f>IFERROR(HistoricalFS!G80/HistoricalFS!G52,0)</f>
        <v>0</v>
      </c>
      <c r="H40" s="34">
        <f>IFERROR(HistoricalFS!H80/HistoricalFS!H52,0)</f>
        <v>1.3163950143815915</v>
      </c>
      <c r="I40" s="34">
        <f>IFERROR(HistoricalFS!I80/HistoricalFS!I52,0)</f>
        <v>2.1575061525840855</v>
      </c>
      <c r="J40" s="34">
        <f>IFERROR(HistoricalFS!J80/HistoricalFS!J52,0)</f>
        <v>1.8497304582210243</v>
      </c>
      <c r="K40" s="34">
        <f>IFERROR(HistoricalFS!K80/HistoricalFS!K52,0)</f>
        <v>1.4945388349514563</v>
      </c>
      <c r="L40" s="34">
        <f>IFERROR(HistoricalFS!#REF!/HistoricalFS!#REF!,0)</f>
        <v>0</v>
      </c>
      <c r="M40" s="32"/>
      <c r="N40" s="34">
        <f t="shared" si="2"/>
        <v>1.6605793987833888</v>
      </c>
      <c r="O40" s="34">
        <f t="shared" si="3"/>
        <v>1.4054669246665239</v>
      </c>
    </row>
    <row r="41" spans="1:15" ht="15" thickTop="1" x14ac:dyDescent="0.3"/>
  </sheetData>
  <mergeCells count="1">
    <mergeCell ref="B2:O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5FC46FFE-9B77-4F62-AB27-1A785B8A1C7A}">
          <x14:colorSeries theme="2" tint="-0.499984740745262"/>
          <x14:colorNegative rgb="FFD00000"/>
          <x14:colorAxis rgb="FF000000"/>
          <x14:colorMarkers theme="1"/>
          <x14:colorFirst rgb="FFD00000"/>
          <x14:colorLast rgb="FFD00000"/>
          <x14:colorHigh rgb="FFD00000"/>
          <x14:colorLow rgb="FFD00000"/>
          <x14:sparklines>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s>
        </x14:sparklineGroup>
        <x14:sparklineGroup displayEmptyCellsAs="gap" markers="1" xr2:uid="{0F97CED9-BF07-4DE7-B4F0-AD07779B8D92}">
          <x14:colorSeries theme="2" tint="-0.499984740745262"/>
          <x14:colorNegative rgb="FFD00000"/>
          <x14:colorAxis rgb="FF000000"/>
          <x14:colorMarkers theme="1"/>
          <x14:colorFirst rgb="FFD00000"/>
          <x14:colorLast rgb="FFD00000"/>
          <x14:colorHigh rgb="FFD00000"/>
          <x14:colorLow rgb="FFD00000"/>
          <x14:sparklines>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s>
        </x14:sparklineGroup>
        <x14:sparklineGroup displayEmptyCellsAs="gap" markers="1" xr2:uid="{06FA2808-28CD-4F8D-9AF0-1C012751C0C3}">
          <x14:colorSeries theme="2" tint="-0.499984740745262"/>
          <x14:colorNegative rgb="FFD00000"/>
          <x14:colorAxis rgb="FF000000"/>
          <x14:colorMarkers theme="1"/>
          <x14:colorFirst rgb="FFD00000"/>
          <x14:colorLast rgb="FFD00000"/>
          <x14:colorHigh rgb="FFD00000"/>
          <x14:colorLow rgb="FFD00000"/>
          <x14:sparklines>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s>
        </x14:sparklineGroup>
        <x14:sparklineGroup displayEmptyCellsAs="gap" markers="1" xr2:uid="{149BC35A-9DBD-4132-88C2-0A1F75AB5B06}">
          <x14:colorSeries theme="2" tint="-0.499984740745262"/>
          <x14:colorNegative rgb="FFD00000"/>
          <x14:colorAxis rgb="FF000000"/>
          <x14:colorMarkers theme="1"/>
          <x14:colorFirst rgb="FFD00000"/>
          <x14:colorLast rgb="FFD00000"/>
          <x14:colorHigh rgb="FFD00000"/>
          <x14:colorLow rgb="FFD00000"/>
          <x14:sparklines>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s>
        </x14:sparklineGroup>
        <x14:sparklineGroup displayEmptyCellsAs="gap" markers="1" xr2:uid="{9E6C3056-C756-4929-8B4B-FE523E371B05}">
          <x14:colorSeries theme="2" tint="-0.499984740745262"/>
          <x14:colorNegative rgb="FFD00000"/>
          <x14:colorAxis rgb="FF000000"/>
          <x14:colorMarkers theme="1"/>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s>
        </x14:sparklineGroup>
        <x14:sparklineGroup displayEmptyCellsAs="gap" markers="1" xr2:uid="{E9B25615-2A52-4562-AB5E-576F9DB7298C}">
          <x14:colorSeries theme="2" tint="-0.499984740745262"/>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s>
        </x14:sparklineGroup>
        <x14:sparklineGroup displayEmptyCellsAs="gap" markers="1" xr2:uid="{A7F3A923-A820-437E-A798-F28169DC4E04}">
          <x14:colorSeries theme="2" tint="-0.499984740745262"/>
          <x14:colorNegative rgb="FFD00000"/>
          <x14:colorAxis rgb="FF000000"/>
          <x14:colorMarkers theme="1"/>
          <x14:colorFirst rgb="FFD00000"/>
          <x14:colorLast rgb="FFD00000"/>
          <x14:colorHigh rgb="FFD00000"/>
          <x14:colorLow rgb="FFD00000"/>
          <x14:sparklines>
            <x14:sparkline>
              <xm:f>'Ratio Analysis'!D9:L9</xm:f>
              <xm:sqref>M9</xm:sqref>
            </x14:sparkline>
          </x14:sparklines>
        </x14:sparklineGroup>
        <x14:sparklineGroup displayEmptyCellsAs="gap" markers="1" xr2:uid="{984BDEB8-90A1-4851-B863-421FE82C031A}">
          <x14:colorSeries theme="2" tint="-0.499984740745262"/>
          <x14:colorNegative rgb="FFD00000"/>
          <x14:colorAxis rgb="FF000000"/>
          <x14:colorMarkers theme="1"/>
          <x14:colorFirst rgb="FFD00000"/>
          <x14:colorLast rgb="FFD00000"/>
          <x14:colorHigh rgb="FFD00000"/>
          <x14:colorLow rgb="FFD00000"/>
          <x14:sparklines>
            <x14:sparkline>
              <xm:f>'Ratio Analysis'!D8:L8</xm:f>
              <xm:sqref>M8</xm:sqref>
            </x14:sparkline>
          </x14:sparklines>
        </x14:sparklineGroup>
        <x14:sparklineGroup displayEmptyCellsAs="gap" markers="1" xr2:uid="{F26FD92B-FDCE-49B0-8375-3D8ECAD47861}">
          <x14:colorSeries theme="2" tint="-0.499984740745262"/>
          <x14:colorNegative rgb="FFD00000"/>
          <x14:colorAxis rgb="FF000000"/>
          <x14:colorMarkers theme="1"/>
          <x14:colorFirst rgb="FFD00000"/>
          <x14:colorLast rgb="FFD00000"/>
          <x14:colorHigh rgb="FFD00000"/>
          <x14:colorLow rgb="FFD00000"/>
          <x14:sparklines>
            <x14:sparkline>
              <xm:f>'Ratio Analysis'!D7:L7</xm:f>
              <xm:sqref>M7</xm:sqref>
            </x14:sparkline>
          </x14:sparklines>
        </x14:sparklineGroup>
        <x14:sparklineGroup displayEmptyCellsAs="gap" markers="1" xr2:uid="{973B43F6-75BB-4F65-98B3-74D694EE4643}">
          <x14:colorSeries theme="2" tint="-0.499984740745262"/>
          <x14:colorNegative rgb="FFD00000"/>
          <x14:colorAxis rgb="FF000000"/>
          <x14:colorMarkers theme="1"/>
          <x14:colorFirst rgb="FFD00000"/>
          <x14:colorLast rgb="FFD00000"/>
          <x14:colorHigh rgb="FFD00000"/>
          <x14:colorLow rgb="FFD00000"/>
          <x14:sparklines>
            <x14:sparkline>
              <xm:f>'Ratio Analysis'!D6:L6</xm:f>
              <xm:sqref>M6</xm:sqref>
            </x14:sparkline>
          </x14:sparklines>
        </x14:sparklineGroup>
        <x14:sparklineGroup displayEmptyCellsAs="gap" markers="1" xr2:uid="{CC04548C-2743-46EF-8E42-7E57CE7BA380}">
          <x14:colorSeries theme="2" tint="-0.499984740745262"/>
          <x14:colorNegative rgb="FFD00000"/>
          <x14:colorAxis rgb="FF000000"/>
          <x14:colorMarkers theme="1"/>
          <x14:colorFirst rgb="FFD00000"/>
          <x14:colorLast rgb="FFD00000"/>
          <x14:colorHigh rgb="FFD00000"/>
          <x14:colorLow rgb="FFD00000"/>
          <x14:sparklines>
            <x14:sparkline>
              <xm:f>'Ratio Analysis'!D5:L5</xm:f>
              <xm:sqref>M5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47D7-0AE1-4A1D-8D82-5E5A8F37D652}">
  <dimension ref="B2:U18"/>
  <sheetViews>
    <sheetView showGridLines="0" zoomScale="96" zoomScaleNormal="96" workbookViewId="0">
      <selection activeCell="Z26" sqref="Z26"/>
    </sheetView>
  </sheetViews>
  <sheetFormatPr defaultRowHeight="14.4" x14ac:dyDescent="0.3"/>
  <cols>
    <col min="1" max="1" width="1.88671875" customWidth="1"/>
    <col min="2" max="2" width="17.33203125" customWidth="1"/>
    <col min="4" max="4" width="12.33203125" bestFit="1" customWidth="1"/>
    <col min="5" max="5" width="11.88671875" bestFit="1" customWidth="1"/>
    <col min="6" max="6" width="2.33203125" customWidth="1"/>
    <col min="7" max="7" width="13.88671875" customWidth="1"/>
    <col min="8" max="8" width="13.6640625" customWidth="1"/>
    <col min="9" max="9" width="11.5546875" customWidth="1"/>
    <col min="10" max="10" width="14.33203125" customWidth="1"/>
    <col min="11" max="11" width="2.33203125" customWidth="1"/>
    <col min="12" max="12" width="11.88671875" customWidth="1"/>
    <col min="13" max="13" width="11.21875" customWidth="1"/>
    <col min="14" max="14" width="11" customWidth="1"/>
    <col min="15" max="15" width="12.44140625" customWidth="1"/>
    <col min="16" max="16" width="2.33203125" customWidth="1"/>
    <col min="17" max="17" width="11.5546875" bestFit="1" customWidth="1"/>
    <col min="18" max="18" width="6.33203125" bestFit="1" customWidth="1"/>
    <col min="19" max="19" width="9.88671875" bestFit="1" customWidth="1"/>
    <col min="20" max="20" width="13.88671875" bestFit="1" customWidth="1"/>
    <col min="21" max="21" width="12" bestFit="1" customWidth="1"/>
  </cols>
  <sheetData>
    <row r="2" spans="2:21" x14ac:dyDescent="0.3">
      <c r="B2" s="198" t="str">
        <f>'Data Sheet'!B1&amp;" -"&amp;" Sales Forecasting"</f>
        <v>HINDUSTAN UNILEVER LTD - Sales Forecasting</v>
      </c>
      <c r="C2" s="198"/>
      <c r="D2" s="198"/>
      <c r="E2" s="198"/>
      <c r="G2" s="198" t="str">
        <f>'Data Sheet'!B1&amp;" -"&amp;" EBITDA Forecasting"</f>
        <v>HINDUSTAN UNILEVER LTD - EBITDA Forecasting</v>
      </c>
      <c r="H2" s="198"/>
      <c r="I2" s="198"/>
      <c r="J2" s="198"/>
      <c r="L2" s="198" t="str">
        <f>'Data Sheet'!B1&amp;" -"&amp;" EBIT Forecasting"</f>
        <v>HINDUSTAN UNILEVER LTD - EBIT Forecasting</v>
      </c>
      <c r="M2" s="198"/>
      <c r="N2" s="198"/>
      <c r="O2" s="198"/>
      <c r="Q2" s="2" t="str">
        <f>'Data Sheet'!B1&amp;" -"&amp;" Depreciation Forecasting"</f>
        <v>HINDUSTAN UNILEVER LTD - Depreciation Forecasting</v>
      </c>
      <c r="R2" s="2"/>
      <c r="S2" s="2"/>
      <c r="T2" s="2"/>
    </row>
    <row r="3" spans="2:21" x14ac:dyDescent="0.3">
      <c r="B3" s="40" t="s">
        <v>167</v>
      </c>
      <c r="C3" s="40" t="s">
        <v>166</v>
      </c>
      <c r="D3" s="40" t="s">
        <v>1</v>
      </c>
      <c r="E3" s="40" t="s">
        <v>10</v>
      </c>
      <c r="G3" s="40" t="s">
        <v>167</v>
      </c>
      <c r="H3" s="40" t="s">
        <v>166</v>
      </c>
      <c r="I3" s="40" t="s">
        <v>66</v>
      </c>
      <c r="J3" s="40" t="s">
        <v>133</v>
      </c>
      <c r="L3" s="40" t="s">
        <v>167</v>
      </c>
      <c r="M3" s="40" t="s">
        <v>166</v>
      </c>
      <c r="N3" s="40" t="s">
        <v>165</v>
      </c>
      <c r="O3" s="40" t="s">
        <v>134</v>
      </c>
      <c r="Q3" s="40" t="s">
        <v>167</v>
      </c>
      <c r="R3" s="40" t="s">
        <v>166</v>
      </c>
      <c r="S3" s="40" t="s">
        <v>469</v>
      </c>
      <c r="T3" s="40" t="s">
        <v>471</v>
      </c>
      <c r="U3" s="40" t="s">
        <v>470</v>
      </c>
    </row>
    <row r="4" spans="2:21" x14ac:dyDescent="0.3">
      <c r="B4" s="39">
        <v>1</v>
      </c>
      <c r="C4" s="42" cm="1">
        <f t="array" ref="C4:C12">TRANSPOSE('Data Sheet'!B16:J16)</f>
        <v>42825</v>
      </c>
      <c r="D4" s="9" cm="1">
        <f t="array" ref="D4:D12">TRANSPOSE('Data Sheet'!B17:J17)</f>
        <v>33162</v>
      </c>
      <c r="E4" s="41" t="s">
        <v>59</v>
      </c>
      <c r="G4" s="39">
        <v>1</v>
      </c>
      <c r="H4" s="42">
        <v>42825</v>
      </c>
      <c r="I4" s="9" cm="1">
        <f t="array" ref="I4:I12">TRANSPOSE(HistoricalFS!C18:K18)</f>
        <v>6328</v>
      </c>
      <c r="J4" s="41" t="s">
        <v>59</v>
      </c>
      <c r="L4" s="39">
        <v>1</v>
      </c>
      <c r="M4" s="42">
        <v>42825</v>
      </c>
      <c r="N4" s="9" cm="1">
        <f t="array" ref="N4:N12">TRANSPOSE(HistoricalFS!C24:K24)</f>
        <v>5896</v>
      </c>
      <c r="O4" s="41" t="s">
        <v>59</v>
      </c>
      <c r="Q4" s="39">
        <v>1</v>
      </c>
      <c r="R4" s="42">
        <v>42825</v>
      </c>
      <c r="S4" s="9" cm="1">
        <f t="array" ref="S4:S12">TRANSPOSE(HistoricalFS!C21:K21)</f>
        <v>432</v>
      </c>
      <c r="T4" s="10" cm="1">
        <f t="array" ref="T4:T12">TRANSPOSE(HistoricalFS!C22:K22)</f>
        <v>1.3026958567034558E-2</v>
      </c>
      <c r="U4" s="41" t="s">
        <v>59</v>
      </c>
    </row>
    <row r="5" spans="2:21" x14ac:dyDescent="0.3">
      <c r="B5" s="39">
        <v>2</v>
      </c>
      <c r="C5" s="42">
        <v>43190</v>
      </c>
      <c r="D5" s="9">
        <v>35545</v>
      </c>
      <c r="E5" s="10">
        <f>(D5-D4)/D4</f>
        <v>7.1859357095470713E-2</v>
      </c>
      <c r="G5" s="39">
        <v>2</v>
      </c>
      <c r="H5" s="42">
        <v>43190</v>
      </c>
      <c r="I5" s="9">
        <v>7499</v>
      </c>
      <c r="J5" s="10">
        <f t="shared" ref="J5:J12" si="0">(I5-I4)/I4</f>
        <v>0.18505056890012642</v>
      </c>
      <c r="L5" s="39">
        <v>2</v>
      </c>
      <c r="M5" s="42">
        <v>43190</v>
      </c>
      <c r="N5" s="9">
        <v>6979</v>
      </c>
      <c r="O5" s="10">
        <f t="shared" ref="O5:O18" si="1">(N5-N4)/N4</f>
        <v>0.18368385345997287</v>
      </c>
      <c r="Q5" s="39">
        <v>2</v>
      </c>
      <c r="R5" s="42">
        <v>43190</v>
      </c>
      <c r="S5" s="9">
        <v>520</v>
      </c>
      <c r="T5" s="10">
        <v>1.4629343086228723E-2</v>
      </c>
      <c r="U5" s="10">
        <f>(S5-S4)/S4</f>
        <v>0.20370370370370369</v>
      </c>
    </row>
    <row r="6" spans="2:21" x14ac:dyDescent="0.3">
      <c r="B6" s="39">
        <v>3</v>
      </c>
      <c r="C6" s="42">
        <v>43555</v>
      </c>
      <c r="D6" s="9">
        <v>39310</v>
      </c>
      <c r="E6" s="10">
        <f t="shared" ref="E6:E12" si="2">(D6-D5)/D5</f>
        <v>0.10592207061471375</v>
      </c>
      <c r="G6" s="39">
        <v>3</v>
      </c>
      <c r="H6" s="42">
        <v>43555</v>
      </c>
      <c r="I6" s="9">
        <v>8880</v>
      </c>
      <c r="J6" s="10">
        <f t="shared" si="0"/>
        <v>0.18415788771836245</v>
      </c>
      <c r="L6" s="39">
        <v>3</v>
      </c>
      <c r="M6" s="42">
        <v>43555</v>
      </c>
      <c r="N6" s="9">
        <v>8315</v>
      </c>
      <c r="O6" s="10">
        <f t="shared" si="1"/>
        <v>0.1914314371686488</v>
      </c>
      <c r="Q6" s="39">
        <v>3</v>
      </c>
      <c r="R6" s="42">
        <v>43555</v>
      </c>
      <c r="S6" s="9">
        <v>565</v>
      </c>
      <c r="T6" s="10">
        <v>1.437293309590435E-2</v>
      </c>
      <c r="U6" s="10">
        <f t="shared" ref="U6:U12" si="3">(S6-S5)/S5</f>
        <v>8.6538461538461536E-2</v>
      </c>
    </row>
    <row r="7" spans="2:21" x14ac:dyDescent="0.3">
      <c r="B7" s="39">
        <v>4</v>
      </c>
      <c r="C7" s="42">
        <v>43921</v>
      </c>
      <c r="D7" s="9">
        <v>39783</v>
      </c>
      <c r="E7" s="10">
        <f t="shared" si="2"/>
        <v>1.2032561689137624E-2</v>
      </c>
      <c r="G7" s="39">
        <v>4</v>
      </c>
      <c r="H7" s="42">
        <v>43921</v>
      </c>
      <c r="I7" s="9">
        <v>9861</v>
      </c>
      <c r="J7" s="10">
        <f t="shared" si="0"/>
        <v>0.11047297297297297</v>
      </c>
      <c r="L7" s="39">
        <v>4</v>
      </c>
      <c r="M7" s="42">
        <v>43921</v>
      </c>
      <c r="N7" s="9">
        <v>8859</v>
      </c>
      <c r="O7" s="10">
        <f t="shared" si="1"/>
        <v>6.5423932651834035E-2</v>
      </c>
      <c r="Q7" s="39">
        <v>4</v>
      </c>
      <c r="R7" s="42">
        <v>43921</v>
      </c>
      <c r="S7" s="9">
        <v>1002</v>
      </c>
      <c r="T7" s="10">
        <v>2.5186637508483524E-2</v>
      </c>
      <c r="U7" s="10">
        <f t="shared" si="3"/>
        <v>0.77345132743362832</v>
      </c>
    </row>
    <row r="8" spans="2:21" x14ac:dyDescent="0.3">
      <c r="B8" s="39">
        <v>5</v>
      </c>
      <c r="C8" s="42">
        <v>44286</v>
      </c>
      <c r="D8" s="9">
        <v>47028</v>
      </c>
      <c r="E8" s="10">
        <f t="shared" si="2"/>
        <v>0.18211296282331649</v>
      </c>
      <c r="G8" s="39">
        <v>5</v>
      </c>
      <c r="H8" s="42">
        <v>44286</v>
      </c>
      <c r="I8" s="9">
        <v>11626</v>
      </c>
      <c r="J8" s="10">
        <f t="shared" si="0"/>
        <v>0.17898793225839166</v>
      </c>
      <c r="L8" s="39">
        <v>5</v>
      </c>
      <c r="M8" s="42">
        <v>44286</v>
      </c>
      <c r="N8" s="9">
        <v>10552</v>
      </c>
      <c r="O8" s="10">
        <f t="shared" si="1"/>
        <v>0.19110509086804381</v>
      </c>
      <c r="Q8" s="39">
        <v>5</v>
      </c>
      <c r="R8" s="42">
        <v>44286</v>
      </c>
      <c r="S8" s="9">
        <v>1074</v>
      </c>
      <c r="T8" s="10">
        <v>2.2837458535340648E-2</v>
      </c>
      <c r="U8" s="10">
        <f t="shared" si="3"/>
        <v>7.1856287425149698E-2</v>
      </c>
    </row>
    <row r="9" spans="2:21" x14ac:dyDescent="0.3">
      <c r="B9" s="39">
        <v>6</v>
      </c>
      <c r="C9" s="42">
        <v>44651</v>
      </c>
      <c r="D9" s="9">
        <v>52446</v>
      </c>
      <c r="E9" s="10">
        <f t="shared" si="2"/>
        <v>0.11520796121459556</v>
      </c>
      <c r="G9" s="39">
        <v>6</v>
      </c>
      <c r="H9" s="42">
        <v>44651</v>
      </c>
      <c r="I9" s="9">
        <v>12857</v>
      </c>
      <c r="J9" s="10">
        <f t="shared" si="0"/>
        <v>0.10588336487183898</v>
      </c>
      <c r="L9" s="39">
        <v>6</v>
      </c>
      <c r="M9" s="42">
        <v>44651</v>
      </c>
      <c r="N9" s="9">
        <v>11766</v>
      </c>
      <c r="O9" s="10">
        <f t="shared" si="1"/>
        <v>0.11504927975739196</v>
      </c>
      <c r="Q9" s="39">
        <v>6</v>
      </c>
      <c r="R9" s="42">
        <v>44651</v>
      </c>
      <c r="S9" s="9">
        <v>1091</v>
      </c>
      <c r="T9" s="10">
        <v>2.0802349082866187E-2</v>
      </c>
      <c r="U9" s="10">
        <f t="shared" si="3"/>
        <v>1.5828677839851025E-2</v>
      </c>
    </row>
    <row r="10" spans="2:21" x14ac:dyDescent="0.3">
      <c r="B10" s="39">
        <v>7</v>
      </c>
      <c r="C10" s="42">
        <v>45016</v>
      </c>
      <c r="D10" s="9">
        <v>60580</v>
      </c>
      <c r="E10" s="10">
        <f t="shared" si="2"/>
        <v>0.15509285741524617</v>
      </c>
      <c r="G10" s="39">
        <v>7</v>
      </c>
      <c r="H10" s="42">
        <v>45016</v>
      </c>
      <c r="I10" s="9">
        <v>14147</v>
      </c>
      <c r="J10" s="10">
        <f t="shared" si="0"/>
        <v>0.10033444816053512</v>
      </c>
      <c r="L10" s="39">
        <v>7</v>
      </c>
      <c r="M10" s="42">
        <v>45016</v>
      </c>
      <c r="N10" s="9">
        <v>13010</v>
      </c>
      <c r="O10" s="10">
        <f t="shared" si="1"/>
        <v>0.10572836987931328</v>
      </c>
      <c r="Q10" s="39">
        <v>7</v>
      </c>
      <c r="R10" s="42">
        <v>45016</v>
      </c>
      <c r="S10" s="9">
        <v>1137</v>
      </c>
      <c r="T10" s="10">
        <v>1.8768570485308684E-2</v>
      </c>
      <c r="U10" s="10">
        <f t="shared" si="3"/>
        <v>4.2163153070577448E-2</v>
      </c>
    </row>
    <row r="11" spans="2:21" x14ac:dyDescent="0.3">
      <c r="B11" s="39">
        <v>8</v>
      </c>
      <c r="C11" s="42">
        <v>45382</v>
      </c>
      <c r="D11" s="9">
        <v>61896</v>
      </c>
      <c r="E11" s="10">
        <f t="shared" si="2"/>
        <v>2.1723341036645756E-2</v>
      </c>
      <c r="G11" s="39">
        <v>8</v>
      </c>
      <c r="H11" s="42">
        <v>45382</v>
      </c>
      <c r="I11" s="9">
        <v>14659</v>
      </c>
      <c r="J11" s="10">
        <f t="shared" si="0"/>
        <v>3.6191418675337525E-2</v>
      </c>
      <c r="L11" s="39">
        <v>8</v>
      </c>
      <c r="M11" s="42">
        <v>45382</v>
      </c>
      <c r="N11" s="9">
        <v>13443</v>
      </c>
      <c r="O11" s="10">
        <f t="shared" si="1"/>
        <v>3.3282090699461954E-2</v>
      </c>
      <c r="Q11" s="39">
        <v>8</v>
      </c>
      <c r="R11" s="42">
        <v>45382</v>
      </c>
      <c r="S11" s="9">
        <v>1216</v>
      </c>
      <c r="T11" s="10">
        <v>1.9645857567532635E-2</v>
      </c>
      <c r="U11" s="10">
        <f t="shared" si="3"/>
        <v>6.9481090589270003E-2</v>
      </c>
    </row>
    <row r="12" spans="2:21" x14ac:dyDescent="0.3">
      <c r="B12" s="39">
        <v>9</v>
      </c>
      <c r="C12" s="42">
        <v>45747</v>
      </c>
      <c r="D12" s="9">
        <v>63121</v>
      </c>
      <c r="E12" s="10">
        <f t="shared" si="2"/>
        <v>1.9791262763344964E-2</v>
      </c>
      <c r="G12" s="39">
        <v>9</v>
      </c>
      <c r="H12" s="42">
        <v>45747</v>
      </c>
      <c r="I12" s="9">
        <v>14843</v>
      </c>
      <c r="J12" s="10">
        <f t="shared" si="0"/>
        <v>1.2552015826454738E-2</v>
      </c>
      <c r="L12" s="39">
        <v>9</v>
      </c>
      <c r="M12" s="42">
        <v>45747</v>
      </c>
      <c r="N12" s="9">
        <v>13488</v>
      </c>
      <c r="O12" s="10">
        <f t="shared" si="1"/>
        <v>3.347467083240348E-3</v>
      </c>
      <c r="Q12" s="39">
        <v>9</v>
      </c>
      <c r="R12" s="42">
        <v>45747</v>
      </c>
      <c r="S12" s="9">
        <v>1355</v>
      </c>
      <c r="T12" s="10">
        <v>2.1466706801223048E-2</v>
      </c>
      <c r="U12" s="10">
        <f t="shared" si="3"/>
        <v>0.11430921052631579</v>
      </c>
    </row>
    <row r="13" spans="2:21" x14ac:dyDescent="0.3">
      <c r="B13" s="46">
        <v>10</v>
      </c>
      <c r="C13" s="43">
        <v>46082</v>
      </c>
      <c r="D13" s="44">
        <f>D12*(1+E13)</f>
        <v>68170.680000000008</v>
      </c>
      <c r="E13" s="45">
        <v>0.08</v>
      </c>
      <c r="G13" s="46">
        <v>10</v>
      </c>
      <c r="H13" s="43">
        <v>46082</v>
      </c>
      <c r="I13" s="44">
        <f>I12*(1+J13)</f>
        <v>18331.105</v>
      </c>
      <c r="J13" s="45">
        <v>0.23499999999999999</v>
      </c>
      <c r="L13" s="46">
        <v>10</v>
      </c>
      <c r="M13" s="43">
        <v>46082</v>
      </c>
      <c r="N13" s="44">
        <f t="shared" ref="N13:N18" si="4">I13-S13</f>
        <v>16967.6914</v>
      </c>
      <c r="O13" s="45">
        <f t="shared" si="1"/>
        <v>0.25798423784104385</v>
      </c>
      <c r="Q13" s="46">
        <v>10</v>
      </c>
      <c r="R13" s="43">
        <v>46082</v>
      </c>
      <c r="S13" s="44">
        <f t="shared" ref="S13:S18" si="5">D13*T13</f>
        <v>1363.4136000000001</v>
      </c>
      <c r="T13" s="45">
        <v>0.02</v>
      </c>
      <c r="U13" s="45">
        <f>(S13-S12)/S12</f>
        <v>6.2092988929889946E-3</v>
      </c>
    </row>
    <row r="14" spans="2:21" x14ac:dyDescent="0.3">
      <c r="B14" s="46">
        <v>11</v>
      </c>
      <c r="C14" s="43">
        <v>46447</v>
      </c>
      <c r="D14" s="44">
        <f t="shared" ref="D14:D18" si="6">D13*(1+E14)</f>
        <v>74987.748000000021</v>
      </c>
      <c r="E14" s="45">
        <v>0.1</v>
      </c>
      <c r="G14" s="46">
        <v>11</v>
      </c>
      <c r="H14" s="43">
        <v>46447</v>
      </c>
      <c r="I14" s="44">
        <f t="shared" ref="I14:I18" si="7">I13*(1+J14)</f>
        <v>22730.570199999998</v>
      </c>
      <c r="J14" s="45">
        <v>0.24</v>
      </c>
      <c r="L14" s="46">
        <v>11</v>
      </c>
      <c r="M14" s="43">
        <v>46447</v>
      </c>
      <c r="N14" s="44">
        <f t="shared" si="4"/>
        <v>21230.815239999996</v>
      </c>
      <c r="O14" s="45">
        <f t="shared" si="1"/>
        <v>0.25124949172519701</v>
      </c>
      <c r="Q14" s="46">
        <v>11</v>
      </c>
      <c r="R14" s="43">
        <v>46447</v>
      </c>
      <c r="S14" s="44">
        <f t="shared" si="5"/>
        <v>1499.7549600000004</v>
      </c>
      <c r="T14" s="45">
        <v>0.02</v>
      </c>
      <c r="U14" s="45">
        <f t="shared" ref="U14:U18" si="8">(S14-S13)/S13</f>
        <v>0.10000000000000026</v>
      </c>
    </row>
    <row r="15" spans="2:21" x14ac:dyDescent="0.3">
      <c r="B15" s="46">
        <v>12</v>
      </c>
      <c r="C15" s="43">
        <v>46813</v>
      </c>
      <c r="D15" s="44">
        <f t="shared" si="6"/>
        <v>81736.645320000025</v>
      </c>
      <c r="E15" s="45">
        <v>0.09</v>
      </c>
      <c r="G15" s="46">
        <v>12</v>
      </c>
      <c r="H15" s="43">
        <v>46813</v>
      </c>
      <c r="I15" s="44">
        <f t="shared" si="7"/>
        <v>28185.907047999997</v>
      </c>
      <c r="J15" s="45">
        <v>0.24</v>
      </c>
      <c r="L15" s="46">
        <v>12</v>
      </c>
      <c r="M15" s="43">
        <v>46813</v>
      </c>
      <c r="N15" s="44">
        <f t="shared" si="4"/>
        <v>26551.174141599997</v>
      </c>
      <c r="O15" s="45">
        <f t="shared" si="1"/>
        <v>0.25059607186332433</v>
      </c>
      <c r="Q15" s="46">
        <v>12</v>
      </c>
      <c r="R15" s="43">
        <v>46813</v>
      </c>
      <c r="S15" s="44">
        <f t="shared" si="5"/>
        <v>1634.7329064000005</v>
      </c>
      <c r="T15" s="45">
        <v>0.02</v>
      </c>
      <c r="U15" s="45">
        <f t="shared" si="8"/>
        <v>9.0000000000000011E-2</v>
      </c>
    </row>
    <row r="16" spans="2:21" x14ac:dyDescent="0.3">
      <c r="B16" s="46">
        <v>13</v>
      </c>
      <c r="C16" s="43">
        <v>47178</v>
      </c>
      <c r="D16" s="44">
        <f t="shared" si="6"/>
        <v>88275.576945600027</v>
      </c>
      <c r="E16" s="45">
        <v>0.08</v>
      </c>
      <c r="G16" s="46">
        <v>13</v>
      </c>
      <c r="H16" s="43">
        <v>47178</v>
      </c>
      <c r="I16" s="44">
        <f t="shared" si="7"/>
        <v>34809.595204279991</v>
      </c>
      <c r="J16" s="45">
        <v>0.23499999999999999</v>
      </c>
      <c r="L16" s="46">
        <v>13</v>
      </c>
      <c r="M16" s="43">
        <v>47178</v>
      </c>
      <c r="N16" s="44">
        <f t="shared" si="4"/>
        <v>33044.083665367987</v>
      </c>
      <c r="O16" s="45">
        <f t="shared" si="1"/>
        <v>0.24454321639942067</v>
      </c>
      <c r="Q16" s="46">
        <v>13</v>
      </c>
      <c r="R16" s="43">
        <v>47178</v>
      </c>
      <c r="S16" s="44">
        <f t="shared" si="5"/>
        <v>1765.5115389120006</v>
      </c>
      <c r="T16" s="45">
        <v>0.02</v>
      </c>
      <c r="U16" s="45">
        <f t="shared" si="8"/>
        <v>8.0000000000000016E-2</v>
      </c>
    </row>
    <row r="17" spans="2:21" x14ac:dyDescent="0.3">
      <c r="B17" s="46">
        <v>14</v>
      </c>
      <c r="C17" s="43">
        <v>47543</v>
      </c>
      <c r="D17" s="44">
        <f t="shared" si="6"/>
        <v>94454.867331792033</v>
      </c>
      <c r="E17" s="45">
        <v>7.0000000000000007E-2</v>
      </c>
      <c r="G17" s="46">
        <v>14</v>
      </c>
      <c r="H17" s="43">
        <v>47543</v>
      </c>
      <c r="I17" s="44">
        <f t="shared" si="7"/>
        <v>42989.850077285788</v>
      </c>
      <c r="J17" s="45">
        <v>0.23499999999999999</v>
      </c>
      <c r="L17" s="46">
        <v>14</v>
      </c>
      <c r="M17" s="43">
        <v>47543</v>
      </c>
      <c r="N17" s="44">
        <f t="shared" si="4"/>
        <v>41100.752730649947</v>
      </c>
      <c r="O17" s="45">
        <f t="shared" si="1"/>
        <v>0.24381578096916004</v>
      </c>
      <c r="Q17" s="46">
        <v>14</v>
      </c>
      <c r="R17" s="43">
        <v>47543</v>
      </c>
      <c r="S17" s="44">
        <f t="shared" si="5"/>
        <v>1889.0973466358407</v>
      </c>
      <c r="T17" s="45">
        <v>0.02</v>
      </c>
      <c r="U17" s="45">
        <f t="shared" si="8"/>
        <v>7.0000000000000076E-2</v>
      </c>
    </row>
    <row r="18" spans="2:21" x14ac:dyDescent="0.3">
      <c r="B18" s="46">
        <v>15</v>
      </c>
      <c r="C18" s="43">
        <v>47908</v>
      </c>
      <c r="D18" s="44">
        <f t="shared" si="6"/>
        <v>100122.15937169956</v>
      </c>
      <c r="E18" s="45">
        <v>0.06</v>
      </c>
      <c r="G18" s="46">
        <v>15</v>
      </c>
      <c r="H18" s="43">
        <v>47908</v>
      </c>
      <c r="I18" s="44">
        <f t="shared" si="7"/>
        <v>52877.515595061515</v>
      </c>
      <c r="J18" s="45">
        <v>0.23</v>
      </c>
      <c r="L18" s="46">
        <v>15</v>
      </c>
      <c r="M18" s="43">
        <v>47908</v>
      </c>
      <c r="N18" s="44">
        <f t="shared" si="4"/>
        <v>50875.072407627522</v>
      </c>
      <c r="O18" s="45">
        <f t="shared" si="1"/>
        <v>0.23781364154162071</v>
      </c>
      <c r="Q18" s="46">
        <v>15</v>
      </c>
      <c r="R18" s="43">
        <v>47908</v>
      </c>
      <c r="S18" s="44">
        <f t="shared" si="5"/>
        <v>2002.4431874339912</v>
      </c>
      <c r="T18" s="45">
        <v>0.02</v>
      </c>
      <c r="U18" s="45">
        <f t="shared" si="8"/>
        <v>6.0000000000000005E-2</v>
      </c>
    </row>
  </sheetData>
  <mergeCells count="3">
    <mergeCell ref="B2:E2"/>
    <mergeCell ref="G2:J2"/>
    <mergeCell ref="L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F1CB-912C-49BB-90F9-96B1CF8B2D5B}">
  <sheetPr>
    <tabColor rgb="FF002060"/>
  </sheetPr>
  <dimension ref="B1:F6"/>
  <sheetViews>
    <sheetView showGridLines="0" workbookViewId="0">
      <selection activeCell="B32" sqref="B32"/>
    </sheetView>
  </sheetViews>
  <sheetFormatPr defaultRowHeight="14.4" x14ac:dyDescent="0.3"/>
  <cols>
    <col min="1" max="1" width="1.88671875" style="59" customWidth="1"/>
    <col min="2" max="2" width="15.77734375" style="59" customWidth="1"/>
    <col min="3" max="16384" width="8.88671875" style="59"/>
  </cols>
  <sheetData>
    <row r="1" spans="2:6" x14ac:dyDescent="0.3">
      <c r="B1" s="59" t="s">
        <v>180</v>
      </c>
      <c r="C1" s="59" t="s">
        <v>179</v>
      </c>
      <c r="D1" s="59" t="s">
        <v>178</v>
      </c>
      <c r="E1" s="59" t="s">
        <v>177</v>
      </c>
      <c r="F1" s="59" t="s">
        <v>176</v>
      </c>
    </row>
    <row r="2" spans="2:6" x14ac:dyDescent="0.3">
      <c r="B2" s="59" t="s">
        <v>175</v>
      </c>
      <c r="C2" s="59" t="s">
        <v>170</v>
      </c>
      <c r="D2" s="61">
        <v>1729</v>
      </c>
      <c r="E2" s="61">
        <f>4597+1804</f>
        <v>6401</v>
      </c>
      <c r="F2" s="60">
        <v>0.26</v>
      </c>
    </row>
    <row r="3" spans="2:6" x14ac:dyDescent="0.3">
      <c r="B3" s="59" t="s">
        <v>174</v>
      </c>
      <c r="C3" s="59" t="s">
        <v>170</v>
      </c>
      <c r="D3" s="59">
        <v>783</v>
      </c>
      <c r="E3" s="59">
        <v>810</v>
      </c>
      <c r="F3" s="60">
        <v>0.26</v>
      </c>
    </row>
    <row r="4" spans="2:6" x14ac:dyDescent="0.3">
      <c r="B4" s="59" t="s">
        <v>173</v>
      </c>
      <c r="C4" s="59" t="s">
        <v>170</v>
      </c>
      <c r="D4" s="61">
        <v>3314</v>
      </c>
      <c r="E4" s="59">
        <f>55+266</f>
        <v>321</v>
      </c>
      <c r="F4" s="60">
        <v>0.26</v>
      </c>
    </row>
    <row r="5" spans="2:6" x14ac:dyDescent="0.3">
      <c r="B5" s="59" t="s">
        <v>172</v>
      </c>
      <c r="C5" s="59" t="s">
        <v>170</v>
      </c>
      <c r="D5" s="61">
        <v>1976</v>
      </c>
      <c r="E5" s="59">
        <f>385+1146</f>
        <v>1531</v>
      </c>
      <c r="F5" s="60">
        <v>0.26</v>
      </c>
    </row>
    <row r="6" spans="2:6" x14ac:dyDescent="0.3">
      <c r="B6" s="59" t="s">
        <v>171</v>
      </c>
      <c r="C6" s="59" t="s">
        <v>170</v>
      </c>
      <c r="D6" s="59">
        <v>183</v>
      </c>
      <c r="E6" s="59">
        <f>25+110</f>
        <v>135</v>
      </c>
      <c r="F6" s="60">
        <v>0.26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1244-9763-402A-90A9-17AD062BC223}">
  <dimension ref="B2:J45"/>
  <sheetViews>
    <sheetView showGridLines="0" zoomScale="85" zoomScaleNormal="85" workbookViewId="0">
      <pane ySplit="2" topLeftCell="A3" activePane="bottomLeft" state="frozen"/>
      <selection pane="bottomLeft" activeCell="V6" sqref="V6"/>
    </sheetView>
  </sheetViews>
  <sheetFormatPr defaultRowHeight="14.4" x14ac:dyDescent="0.3"/>
  <cols>
    <col min="1" max="1" width="1.88671875" customWidth="1"/>
    <col min="2" max="2" width="23.21875" bestFit="1" customWidth="1"/>
    <col min="4" max="4" width="9.5546875" bestFit="1" customWidth="1"/>
  </cols>
  <sheetData>
    <row r="2" spans="2:10" x14ac:dyDescent="0.3">
      <c r="B2" s="40" t="s">
        <v>442</v>
      </c>
      <c r="C2" s="40"/>
      <c r="D2" s="40"/>
      <c r="E2" s="152">
        <f>HistoricalFS!K3</f>
        <v>45747</v>
      </c>
      <c r="F2" s="153">
        <f>E2+365</f>
        <v>46112</v>
      </c>
      <c r="G2" s="153">
        <f>F2+365</f>
        <v>46477</v>
      </c>
      <c r="H2" s="153">
        <f>G2+365</f>
        <v>46842</v>
      </c>
      <c r="I2" s="153">
        <f>H2+365</f>
        <v>47207</v>
      </c>
      <c r="J2" s="153">
        <f>I2+365</f>
        <v>47572</v>
      </c>
    </row>
    <row r="4" spans="2:10" x14ac:dyDescent="0.3">
      <c r="B4" t="s">
        <v>483</v>
      </c>
      <c r="E4" s="154">
        <f>Forecasting!D12</f>
        <v>63121</v>
      </c>
      <c r="F4" s="154">
        <f>Forecasting!$D13</f>
        <v>68170.680000000008</v>
      </c>
      <c r="G4" s="154">
        <f>Forecasting!$D14</f>
        <v>74987.748000000021</v>
      </c>
      <c r="H4" s="154">
        <f>Forecasting!$D15</f>
        <v>81736.645320000025</v>
      </c>
      <c r="I4" s="154">
        <f>Forecasting!$D16</f>
        <v>88275.576945600027</v>
      </c>
      <c r="J4" s="154">
        <f>Forecasting!$D17</f>
        <v>94454.867331792033</v>
      </c>
    </row>
    <row r="5" spans="2:10" x14ac:dyDescent="0.3">
      <c r="B5" t="s">
        <v>66</v>
      </c>
      <c r="E5" s="154">
        <f>Forecasting!I12</f>
        <v>14843</v>
      </c>
      <c r="F5" s="154">
        <f>Forecasting!I13</f>
        <v>18331.105</v>
      </c>
      <c r="G5" s="154">
        <f>Forecasting!I14</f>
        <v>22730.570199999998</v>
      </c>
      <c r="H5" s="154">
        <f>Forecasting!I15</f>
        <v>28185.907047999997</v>
      </c>
      <c r="I5" s="154">
        <f>Forecasting!I16</f>
        <v>34809.595204279991</v>
      </c>
      <c r="J5" s="154">
        <f>Forecasting!I17</f>
        <v>42989.850077285788</v>
      </c>
    </row>
    <row r="6" spans="2:10" x14ac:dyDescent="0.3">
      <c r="B6" t="s">
        <v>165</v>
      </c>
      <c r="E6" s="154">
        <f>HistoricalFS!K24</f>
        <v>13488</v>
      </c>
      <c r="F6" s="154">
        <f>Forecasting!$N13</f>
        <v>16967.6914</v>
      </c>
      <c r="G6" s="154">
        <f>Forecasting!$N14</f>
        <v>21230.815239999996</v>
      </c>
      <c r="H6" s="154">
        <f>Forecasting!$N15</f>
        <v>26551.174141599997</v>
      </c>
      <c r="I6" s="154">
        <f>Forecasting!$N16</f>
        <v>33044.083665367987</v>
      </c>
      <c r="J6" s="154">
        <f>Forecasting!$N17</f>
        <v>41100.752730649947</v>
      </c>
    </row>
    <row r="7" spans="2:10" x14ac:dyDescent="0.3">
      <c r="B7" t="s">
        <v>176</v>
      </c>
      <c r="E7" s="155">
        <f>HistoricalFS!K33/HistoricalFS!K30</f>
        <v>0.28595432673947913</v>
      </c>
      <c r="F7" s="156">
        <v>0.26</v>
      </c>
      <c r="G7" s="156">
        <v>0.26</v>
      </c>
      <c r="H7" s="156">
        <v>0.26</v>
      </c>
      <c r="I7" s="156">
        <v>0.26</v>
      </c>
      <c r="J7" s="156">
        <v>0.26</v>
      </c>
    </row>
    <row r="8" spans="2:10" x14ac:dyDescent="0.3">
      <c r="B8" t="s">
        <v>443</v>
      </c>
      <c r="E8" s="154">
        <f t="shared" ref="E8:J8" si="0">E6*(1-E7)</f>
        <v>9631.048040937907</v>
      </c>
      <c r="F8" s="154">
        <f t="shared" si="0"/>
        <v>12556.091635999999</v>
      </c>
      <c r="G8" s="154">
        <f t="shared" si="0"/>
        <v>15710.803277599996</v>
      </c>
      <c r="H8" s="154">
        <f t="shared" si="0"/>
        <v>19647.868864783999</v>
      </c>
      <c r="I8" s="154">
        <f t="shared" si="0"/>
        <v>24452.621912372309</v>
      </c>
      <c r="J8" s="154">
        <f t="shared" si="0"/>
        <v>30414.557020680961</v>
      </c>
    </row>
    <row r="9" spans="2:10" x14ac:dyDescent="0.3">
      <c r="B9" t="s">
        <v>444</v>
      </c>
      <c r="E9" s="157">
        <v>0.31830994119415706</v>
      </c>
      <c r="F9" s="157">
        <v>0.31830994119415706</v>
      </c>
      <c r="G9" s="157">
        <v>0.31830994119415706</v>
      </c>
      <c r="H9" s="157">
        <v>0.31830994119415706</v>
      </c>
      <c r="I9" s="157">
        <v>0.31830994119415706</v>
      </c>
      <c r="J9" s="157">
        <v>0.31830994119415706</v>
      </c>
    </row>
    <row r="10" spans="2:10" x14ac:dyDescent="0.3">
      <c r="B10" t="s">
        <v>445</v>
      </c>
      <c r="E10" s="154">
        <f t="shared" ref="E10:J10" si="1">E8*(1-E9)</f>
        <v>6565.3897053888604</v>
      </c>
      <c r="F10" s="154">
        <f t="shared" si="1"/>
        <v>8559.3628457163923</v>
      </c>
      <c r="G10" s="154">
        <f t="shared" si="1"/>
        <v>10709.898410194171</v>
      </c>
      <c r="H10" s="154">
        <f t="shared" si="1"/>
        <v>13393.756881844096</v>
      </c>
      <c r="I10" s="154">
        <f t="shared" si="1"/>
        <v>16669.109269402124</v>
      </c>
      <c r="J10" s="154">
        <f t="shared" si="1"/>
        <v>20733.301163981669</v>
      </c>
    </row>
    <row r="11" spans="2:10" x14ac:dyDescent="0.3">
      <c r="B11" t="s">
        <v>446</v>
      </c>
      <c r="E11" s="158"/>
      <c r="F11">
        <v>0.5</v>
      </c>
      <c r="G11">
        <f>F11+1</f>
        <v>1.5</v>
      </c>
      <c r="H11">
        <f>G11+1</f>
        <v>2.5</v>
      </c>
      <c r="I11">
        <f>H11+1</f>
        <v>3.5</v>
      </c>
      <c r="J11">
        <f>I11+1</f>
        <v>4.5</v>
      </c>
    </row>
    <row r="12" spans="2:10" x14ac:dyDescent="0.3">
      <c r="B12" t="s">
        <v>447</v>
      </c>
      <c r="E12" s="158"/>
      <c r="F12" s="159">
        <f>1/(1+$J$17)^F11</f>
        <v>0.93980508796142104</v>
      </c>
      <c r="G12" s="159">
        <f t="shared" ref="G12:J12" si="2">1/(1+$J$17)^G11</f>
        <v>0.83006743429451191</v>
      </c>
      <c r="H12" s="159">
        <f t="shared" si="2"/>
        <v>0.73314345102221623</v>
      </c>
      <c r="I12" s="159">
        <f t="shared" si="2"/>
        <v>0.64753693202479923</v>
      </c>
      <c r="J12" s="159">
        <f t="shared" si="2"/>
        <v>0.57192637777976063</v>
      </c>
    </row>
    <row r="13" spans="2:10" ht="15" thickBot="1" x14ac:dyDescent="0.35">
      <c r="B13" s="160" t="s">
        <v>448</v>
      </c>
      <c r="C13" s="160"/>
      <c r="D13" s="160"/>
      <c r="E13" s="161"/>
      <c r="F13" s="162">
        <f>F10*F12</f>
        <v>8044.132752112213</v>
      </c>
      <c r="G13" s="162">
        <f>G10*G12</f>
        <v>8889.9378949047477</v>
      </c>
      <c r="H13" s="162">
        <f>H10*H12</f>
        <v>9819.545142507739</v>
      </c>
      <c r="I13" s="162">
        <f>I10*I12</f>
        <v>10793.863875894795</v>
      </c>
      <c r="J13" s="162">
        <f>J10*J12</f>
        <v>11857.921834132931</v>
      </c>
    </row>
    <row r="15" spans="2:10" x14ac:dyDescent="0.3">
      <c r="B15" s="127" t="s">
        <v>449</v>
      </c>
      <c r="C15" s="127"/>
      <c r="D15" s="127"/>
      <c r="E15" s="163" t="s">
        <v>59</v>
      </c>
      <c r="F15" s="163">
        <v>0.08</v>
      </c>
      <c r="G15" s="163">
        <v>0.1</v>
      </c>
      <c r="H15" s="163">
        <v>0.09</v>
      </c>
      <c r="I15" s="163">
        <v>0.08</v>
      </c>
      <c r="J15" s="163">
        <v>7.0000000000000007E-2</v>
      </c>
    </row>
    <row r="16" spans="2:10" x14ac:dyDescent="0.3">
      <c r="B16" s="127" t="s">
        <v>450</v>
      </c>
      <c r="C16" s="127"/>
      <c r="D16" s="127"/>
      <c r="E16" s="163"/>
      <c r="F16" s="163"/>
      <c r="G16" s="163"/>
      <c r="H16" s="163"/>
      <c r="I16" s="163"/>
      <c r="J16" s="163">
        <v>0.06</v>
      </c>
    </row>
    <row r="17" spans="2:10" x14ac:dyDescent="0.3">
      <c r="B17" s="127" t="s">
        <v>451</v>
      </c>
      <c r="C17" s="127"/>
      <c r="D17" s="127"/>
      <c r="E17" s="127"/>
      <c r="F17" s="127"/>
      <c r="G17" s="127"/>
      <c r="H17" s="127"/>
      <c r="I17" s="127"/>
      <c r="J17" s="163">
        <f>WACC!J40</f>
        <v>0.13220329955502594</v>
      </c>
    </row>
    <row r="18" spans="2:10" x14ac:dyDescent="0.3">
      <c r="C18" s="2"/>
    </row>
    <row r="20" spans="2:10" x14ac:dyDescent="0.3">
      <c r="B20" s="40" t="s">
        <v>452</v>
      </c>
      <c r="C20" s="40"/>
      <c r="D20" s="40"/>
      <c r="F20" s="196" t="s">
        <v>472</v>
      </c>
      <c r="G20" s="196"/>
      <c r="H20" s="196"/>
      <c r="I20" s="196"/>
      <c r="J20" s="196"/>
    </row>
    <row r="21" spans="2:10" x14ac:dyDescent="0.3">
      <c r="F21" s="164">
        <f>D38</f>
        <v>900.25440257552577</v>
      </c>
      <c r="G21" s="165">
        <v>0.11</v>
      </c>
      <c r="H21" s="165">
        <v>0.12</v>
      </c>
      <c r="I21" s="165">
        <v>0.13220000000000001</v>
      </c>
      <c r="J21" s="165">
        <v>0.14000000000000001</v>
      </c>
    </row>
    <row r="22" spans="2:10" x14ac:dyDescent="0.3">
      <c r="B22" t="s">
        <v>453</v>
      </c>
      <c r="D22" s="154">
        <f>J10*(1+D15)</f>
        <v>20733.301163981669</v>
      </c>
      <c r="F22" s="165">
        <v>0.05</v>
      </c>
      <c r="G22" s="154">
        <f t="dataTable" ref="G22:J25" dt2D="1" dtr="1" r1="J17" r2="J16"/>
        <v>1132.4401479839419</v>
      </c>
      <c r="H22" s="154">
        <v>964.53985357753538</v>
      </c>
      <c r="I22" s="154">
        <v>815.25549724303039</v>
      </c>
      <c r="J22" s="154">
        <v>741.13878265816936</v>
      </c>
    </row>
    <row r="23" spans="2:10" x14ac:dyDescent="0.3">
      <c r="B23" t="s">
        <v>451</v>
      </c>
      <c r="D23" s="35">
        <f>J17</f>
        <v>0.13220329955502594</v>
      </c>
      <c r="F23" s="165">
        <v>5.5E-2</v>
      </c>
      <c r="G23" s="154">
        <v>1216.0384814284355</v>
      </c>
      <c r="H23" s="154">
        <v>1022.773296222667</v>
      </c>
      <c r="I23" s="154">
        <v>855.02239098241068</v>
      </c>
      <c r="J23" s="154">
        <v>773.12270321076983</v>
      </c>
    </row>
    <row r="24" spans="2:10" x14ac:dyDescent="0.3">
      <c r="B24" t="s">
        <v>454</v>
      </c>
      <c r="D24" s="22">
        <f>J16</f>
        <v>0.06</v>
      </c>
      <c r="F24" s="165">
        <v>0.06</v>
      </c>
      <c r="G24" s="154">
        <v>1316.3564815618279</v>
      </c>
      <c r="H24" s="154">
        <v>1090.7123126419876</v>
      </c>
      <c r="I24" s="166">
        <v>900.29716474109568</v>
      </c>
      <c r="J24" s="154">
        <v>809.10461383244547</v>
      </c>
    </row>
    <row r="25" spans="2:10" x14ac:dyDescent="0.3">
      <c r="D25" s="22"/>
      <c r="F25" s="165">
        <v>6.5000000000000002E-2</v>
      </c>
      <c r="G25" s="154">
        <v>1438.9673706137519</v>
      </c>
      <c r="H25" s="154">
        <v>1171.0038775011844</v>
      </c>
      <c r="I25" s="154">
        <v>952.30925602339482</v>
      </c>
      <c r="J25" s="154">
        <v>849.88411253701111</v>
      </c>
    </row>
    <row r="26" spans="2:10" ht="15" thickBot="1" x14ac:dyDescent="0.35">
      <c r="B26" s="160" t="s">
        <v>455</v>
      </c>
      <c r="C26" s="160"/>
      <c r="D26" s="162">
        <f>D22/(D23-D24)</f>
        <v>287151.71317317535</v>
      </c>
      <c r="F26" s="165"/>
      <c r="G26" s="154"/>
      <c r="H26" s="154"/>
      <c r="I26" s="154"/>
      <c r="J26" s="154"/>
    </row>
    <row r="27" spans="2:10" x14ac:dyDescent="0.3">
      <c r="F27" s="10"/>
      <c r="G27" s="154"/>
      <c r="H27" s="154"/>
      <c r="I27" s="154"/>
      <c r="J27" s="154"/>
    </row>
    <row r="28" spans="2:10" x14ac:dyDescent="0.3">
      <c r="G28" s="154"/>
      <c r="H28" s="154"/>
      <c r="I28" s="154"/>
      <c r="J28" s="154"/>
    </row>
    <row r="29" spans="2:10" x14ac:dyDescent="0.3">
      <c r="B29" s="40" t="s">
        <v>456</v>
      </c>
      <c r="C29" s="40"/>
      <c r="D29" s="40"/>
      <c r="G29" s="154"/>
      <c r="H29" s="154"/>
      <c r="I29" s="154"/>
      <c r="J29" s="154"/>
    </row>
    <row r="31" spans="2:10" x14ac:dyDescent="0.3">
      <c r="B31" t="s">
        <v>448</v>
      </c>
      <c r="D31" s="154">
        <f>SUM(F13:J13)</f>
        <v>49405.401499552427</v>
      </c>
    </row>
    <row r="32" spans="2:10" x14ac:dyDescent="0.3">
      <c r="B32" t="s">
        <v>457</v>
      </c>
      <c r="D32" s="154">
        <f t="array" ref="D32">D26*J12</f>
        <v>164229.63918838694</v>
      </c>
    </row>
    <row r="33" spans="2:4" x14ac:dyDescent="0.3">
      <c r="B33" s="2" t="s">
        <v>458</v>
      </c>
      <c r="C33" s="2"/>
      <c r="D33" s="166">
        <f>SUM(D31:D32)</f>
        <v>213635.04068793936</v>
      </c>
    </row>
    <row r="34" spans="2:4" x14ac:dyDescent="0.3">
      <c r="B34" t="s">
        <v>459</v>
      </c>
      <c r="D34">
        <f>[1]HistoricalFS!L64</f>
        <v>303.77999999999997</v>
      </c>
    </row>
    <row r="35" spans="2:4" x14ac:dyDescent="0.3">
      <c r="B35" t="s">
        <v>460</v>
      </c>
      <c r="D35" s="154">
        <f>SUM('[1]Raw FS'!L7:L9)</f>
        <v>2425</v>
      </c>
    </row>
    <row r="36" spans="2:4" x14ac:dyDescent="0.3">
      <c r="B36" s="2" t="s">
        <v>461</v>
      </c>
      <c r="C36" s="2"/>
      <c r="D36" s="166">
        <f>D33+D34-D35</f>
        <v>211513.82068793935</v>
      </c>
    </row>
    <row r="37" spans="2:4" x14ac:dyDescent="0.3">
      <c r="B37" t="s">
        <v>462</v>
      </c>
      <c r="D37" s="167">
        <f>'Data Sheet'!B6</f>
        <v>234.94894341290893</v>
      </c>
    </row>
    <row r="38" spans="2:4" ht="15" thickBot="1" x14ac:dyDescent="0.35">
      <c r="B38" s="160" t="s">
        <v>463</v>
      </c>
      <c r="C38" s="160"/>
      <c r="D38" s="168">
        <f>D36/D37</f>
        <v>900.25440257552577</v>
      </c>
    </row>
    <row r="40" spans="2:4" x14ac:dyDescent="0.3">
      <c r="B40" s="2" t="s">
        <v>464</v>
      </c>
      <c r="D40" s="154">
        <f>'Data Sheet'!B8</f>
        <v>2262</v>
      </c>
    </row>
    <row r="41" spans="2:4" x14ac:dyDescent="0.3">
      <c r="B41" s="127" t="s">
        <v>465</v>
      </c>
      <c r="C41" s="127"/>
      <c r="D41" s="169">
        <f>D40/D38-1</f>
        <v>1.5126230913491501</v>
      </c>
    </row>
    <row r="44" spans="2:4" x14ac:dyDescent="0.3">
      <c r="B44" s="23"/>
    </row>
    <row r="45" spans="2:4" x14ac:dyDescent="0.3">
      <c r="B45" s="170" t="s">
        <v>466</v>
      </c>
    </row>
  </sheetData>
  <mergeCells count="1">
    <mergeCell ref="F20:J20"/>
  </mergeCells>
  <conditionalFormatting sqref="G22:J25 G27:J27 G26:H26 J26">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4E5F-BCE7-46D4-A804-916F91233839}">
  <dimension ref="A2:T53"/>
  <sheetViews>
    <sheetView showGridLines="0" zoomScale="85" zoomScaleNormal="85" workbookViewId="0">
      <selection activeCell="D12" sqref="D12"/>
    </sheetView>
  </sheetViews>
  <sheetFormatPr defaultRowHeight="14.4" x14ac:dyDescent="0.3"/>
  <cols>
    <col min="1" max="1" width="1.88671875" style="59" customWidth="1"/>
    <col min="2" max="2" width="17.88671875" style="59" customWidth="1"/>
    <col min="3" max="3" width="9.77734375" style="59" bestFit="1" customWidth="1"/>
    <col min="4" max="4" width="8.88671875" style="59"/>
    <col min="5" max="5" width="12.44140625" style="59" customWidth="1"/>
    <col min="6" max="6" width="12.77734375" style="59" customWidth="1"/>
    <col min="7" max="7" width="10.77734375" style="59" customWidth="1"/>
    <col min="8" max="8" width="8.88671875" style="59"/>
    <col min="9" max="9" width="11.33203125" style="59" customWidth="1"/>
    <col min="10" max="10" width="15.77734375" style="59" customWidth="1"/>
    <col min="11" max="16384" width="8.88671875" style="59"/>
  </cols>
  <sheetData>
    <row r="2" spans="2:20" ht="18" x14ac:dyDescent="0.35">
      <c r="B2" s="93" t="s">
        <v>183</v>
      </c>
      <c r="C2" s="93"/>
      <c r="D2" s="93"/>
      <c r="E2" s="92"/>
      <c r="F2" s="92"/>
      <c r="G2" s="92"/>
      <c r="H2" s="92"/>
      <c r="I2" s="92"/>
      <c r="J2" s="92"/>
    </row>
    <row r="4" spans="2:20" x14ac:dyDescent="0.3">
      <c r="B4" s="91" t="s">
        <v>217</v>
      </c>
    </row>
    <row r="6" spans="2:20" x14ac:dyDescent="0.3">
      <c r="B6" s="80" t="s">
        <v>216</v>
      </c>
    </row>
    <row r="7" spans="2:20" x14ac:dyDescent="0.3">
      <c r="B7" s="79"/>
      <c r="C7" s="79"/>
      <c r="D7" s="79"/>
      <c r="E7" s="79"/>
      <c r="F7" s="79"/>
      <c r="G7" s="90" t="s">
        <v>215</v>
      </c>
      <c r="H7" s="90" t="s">
        <v>215</v>
      </c>
      <c r="I7" s="90" t="s">
        <v>214</v>
      </c>
      <c r="J7" s="90" t="s">
        <v>213</v>
      </c>
    </row>
    <row r="8" spans="2:20" ht="16.2" x14ac:dyDescent="0.3">
      <c r="B8" s="66" t="s">
        <v>212</v>
      </c>
      <c r="C8" s="66" t="s">
        <v>179</v>
      </c>
      <c r="D8" s="66" t="s">
        <v>178</v>
      </c>
      <c r="E8" s="66" t="s">
        <v>177</v>
      </c>
      <c r="F8" s="66" t="s">
        <v>211</v>
      </c>
      <c r="G8" s="66" t="s">
        <v>185</v>
      </c>
      <c r="H8" s="66" t="s">
        <v>210</v>
      </c>
      <c r="I8" s="66" t="s">
        <v>209</v>
      </c>
      <c r="J8" s="66" t="s">
        <v>208</v>
      </c>
    </row>
    <row r="10" spans="2:20" x14ac:dyDescent="0.3">
      <c r="B10" s="131" t="str">
        <f>'Beta - Comps'!C3</f>
        <v>Hindustan Unilever</v>
      </c>
      <c r="C10" s="131" t="s">
        <v>170</v>
      </c>
      <c r="D10" s="132">
        <f>'Beta - Comps'!F3</f>
        <v>1478</v>
      </c>
      <c r="E10" s="133">
        <f>'Beta - Comps'!E3</f>
        <v>530220.51</v>
      </c>
      <c r="F10" s="134">
        <v>0.23833333333333331</v>
      </c>
      <c r="G10" s="137">
        <f>D10/E10</f>
        <v>2.7875194793954687E-3</v>
      </c>
      <c r="H10" s="137">
        <f>D10/(D10+E10)</f>
        <v>2.7797708141029018E-3</v>
      </c>
      <c r="I10" s="132">
        <f>'Beta - Regression'!J10</f>
        <v>0.72661619174680359</v>
      </c>
      <c r="J10" s="144">
        <f>I10/(1+(1-F10)*G10)</f>
        <v>0.72507673733526024</v>
      </c>
    </row>
    <row r="11" spans="2:20" x14ac:dyDescent="0.3">
      <c r="B11" s="89" t="str">
        <f>'Beta - Comps'!C4</f>
        <v>Nestle India</v>
      </c>
      <c r="C11" s="89" t="str">
        <f>'DCF&gt;'!C2</f>
        <v>India</v>
      </c>
      <c r="D11" s="70">
        <f>'Beta - Comps'!F4</f>
        <v>444.16</v>
      </c>
      <c r="E11" s="70">
        <f>'Beta - Comps'!E4</f>
        <v>283655.02</v>
      </c>
      <c r="F11" s="88">
        <v>0.26</v>
      </c>
      <c r="G11" s="138">
        <f t="shared" ref="G11:G15" si="0">D11/E11</f>
        <v>1.5658457234425111E-3</v>
      </c>
      <c r="H11" s="138">
        <f t="shared" ref="H11:H15" si="1">D11/(D11+E11)</f>
        <v>1.563397683865191E-3</v>
      </c>
      <c r="I11" s="70">
        <f>'Beta - Regression'!J122</f>
        <v>0.82032056783154861</v>
      </c>
      <c r="J11" s="149">
        <f t="shared" ref="J11:J15" si="2">I11/(1+(1-F11)*G11)</f>
        <v>0.81937114132136146</v>
      </c>
    </row>
    <row r="12" spans="2:20" x14ac:dyDescent="0.3">
      <c r="B12" s="89" t="str">
        <f>'Beta - Comps'!C5</f>
        <v>Marico</v>
      </c>
      <c r="C12" s="89" t="str">
        <f>'DCF&gt;'!C3</f>
        <v>India</v>
      </c>
      <c r="D12" s="70">
        <f>'Beta - Comps'!F5</f>
        <v>557</v>
      </c>
      <c r="E12" s="70">
        <f>'Beta - Comps'!E5</f>
        <v>107499.72</v>
      </c>
      <c r="F12" s="88">
        <v>0.22199999999999998</v>
      </c>
      <c r="G12" s="138">
        <f t="shared" si="0"/>
        <v>5.1814088445997809E-3</v>
      </c>
      <c r="H12" s="138">
        <f t="shared" si="1"/>
        <v>5.1547002352098047E-3</v>
      </c>
      <c r="I12" s="70">
        <f>'Beta - Regression'!J233</f>
        <v>0.66091888758603679</v>
      </c>
      <c r="J12" s="149">
        <f t="shared" si="2"/>
        <v>0.65826533046147717</v>
      </c>
    </row>
    <row r="13" spans="2:20" x14ac:dyDescent="0.3">
      <c r="B13" s="89" t="str">
        <f>'Beta - Comps'!C6</f>
        <v>Godrej Consumer</v>
      </c>
      <c r="C13" s="89" t="str">
        <f>'DCF&gt;'!C4</f>
        <v>India</v>
      </c>
      <c r="D13" s="70">
        <f>'Beta - Comps'!F6</f>
        <v>4415.8100000000004</v>
      </c>
      <c r="E13" s="70">
        <f>'Beta - Comps'!E6</f>
        <v>104677.93</v>
      </c>
      <c r="F13" s="88">
        <v>0.21250000000000002</v>
      </c>
      <c r="G13" s="138">
        <f t="shared" si="0"/>
        <v>4.2184727955548992E-2</v>
      </c>
      <c r="H13" s="138">
        <f t="shared" si="1"/>
        <v>4.0477207949787042E-2</v>
      </c>
      <c r="I13" s="70">
        <f>'Beta - Regression'!J343</f>
        <v>1.01045864397287</v>
      </c>
      <c r="J13" s="149">
        <f t="shared" si="2"/>
        <v>0.97797001716371623</v>
      </c>
      <c r="P13" s="59" t="s">
        <v>131</v>
      </c>
    </row>
    <row r="14" spans="2:20" x14ac:dyDescent="0.3">
      <c r="B14" s="89" t="str">
        <f>'Beta - Comps'!C7</f>
        <v>Dabur India</v>
      </c>
      <c r="C14" s="89" t="str">
        <f>'DCF&gt;'!C6</f>
        <v>India</v>
      </c>
      <c r="D14" s="70">
        <f>'Beta - Comps'!F7</f>
        <v>1287.32</v>
      </c>
      <c r="E14" s="70">
        <f>'Beta - Comps'!E7</f>
        <v>83993.12</v>
      </c>
      <c r="F14" s="88">
        <v>0.22000000000000003</v>
      </c>
      <c r="G14" s="138">
        <f t="shared" si="0"/>
        <v>1.5326493408031515E-2</v>
      </c>
      <c r="H14" s="138">
        <f t="shared" si="1"/>
        <v>1.5095137876868364E-2</v>
      </c>
      <c r="I14" s="70">
        <f>'Beta - Regression'!J453</f>
        <v>0.69208559597788566</v>
      </c>
      <c r="J14" s="149">
        <f t="shared" si="2"/>
        <v>0.68390968490156601</v>
      </c>
      <c r="O14" s="71"/>
      <c r="P14" s="71"/>
      <c r="Q14" s="71"/>
      <c r="R14" s="71"/>
      <c r="S14" s="71"/>
      <c r="T14" s="71"/>
    </row>
    <row r="15" spans="2:20" x14ac:dyDescent="0.3">
      <c r="B15" s="89" t="str">
        <f>'Beta - Comps'!C8</f>
        <v>Emami</v>
      </c>
      <c r="C15" s="89" t="s">
        <v>170</v>
      </c>
      <c r="D15" s="70">
        <f>'Beta - Comps'!F8</f>
        <v>71.959999999999994</v>
      </c>
      <c r="E15" s="70">
        <f>'Beta - Comps'!E8</f>
        <v>18867.72</v>
      </c>
      <c r="F15" s="88">
        <v>0.11000000000000001</v>
      </c>
      <c r="G15" s="138">
        <f t="shared" si="0"/>
        <v>3.8139213429073567E-3</v>
      </c>
      <c r="H15" s="138">
        <f t="shared" si="1"/>
        <v>3.7994306134000147E-3</v>
      </c>
      <c r="I15" s="70">
        <f>'Beta - Regression'!J564</f>
        <v>0.94271205888017851</v>
      </c>
      <c r="J15" s="149">
        <f t="shared" si="2"/>
        <v>0.93952295157310961</v>
      </c>
      <c r="O15" s="71"/>
    </row>
    <row r="17" spans="2:10" x14ac:dyDescent="0.3">
      <c r="E17" s="87" t="s">
        <v>207</v>
      </c>
      <c r="F17" s="86">
        <f>AVERAGE(F10:F15)</f>
        <v>0.21047222222222225</v>
      </c>
      <c r="G17" s="85">
        <f t="shared" ref="G17:J17" si="3">AVERAGE(G10:G15)</f>
        <v>1.1809986125654271E-2</v>
      </c>
      <c r="H17" s="85">
        <f t="shared" si="3"/>
        <v>1.1478274195538887E-2</v>
      </c>
      <c r="I17" s="84">
        <f t="shared" si="3"/>
        <v>0.80885199099922056</v>
      </c>
      <c r="J17" s="84">
        <f t="shared" si="3"/>
        <v>0.8006859771260818</v>
      </c>
    </row>
    <row r="18" spans="2:10" x14ac:dyDescent="0.3">
      <c r="E18" s="67" t="s">
        <v>162</v>
      </c>
      <c r="F18" s="83">
        <f>MEDIAN(F10:F15)</f>
        <v>0.221</v>
      </c>
      <c r="G18" s="82">
        <f t="shared" ref="G18:J18" si="4">MEDIAN(G10:G15)</f>
        <v>4.4976650937535688E-3</v>
      </c>
      <c r="H18" s="82">
        <f t="shared" si="4"/>
        <v>4.4770654243049095E-3</v>
      </c>
      <c r="I18" s="81">
        <f t="shared" si="4"/>
        <v>0.77346837978917615</v>
      </c>
      <c r="J18" s="81">
        <f t="shared" si="4"/>
        <v>0.77222393932831079</v>
      </c>
    </row>
    <row r="20" spans="2:10" x14ac:dyDescent="0.3">
      <c r="B20" s="80" t="s">
        <v>206</v>
      </c>
      <c r="C20" s="80"/>
      <c r="D20" s="80"/>
      <c r="F20" s="67" t="s">
        <v>200</v>
      </c>
      <c r="G20" s="67"/>
      <c r="H20" s="67"/>
      <c r="I20" s="66"/>
      <c r="J20" s="66"/>
    </row>
    <row r="21" spans="2:10" x14ac:dyDescent="0.3">
      <c r="B21" s="79"/>
      <c r="C21" s="79"/>
      <c r="D21" s="79"/>
    </row>
    <row r="22" spans="2:10" x14ac:dyDescent="0.3">
      <c r="B22" s="59" t="s">
        <v>205</v>
      </c>
      <c r="D22" s="76">
        <v>8.4000000000000005E-2</v>
      </c>
      <c r="F22" s="59" t="s">
        <v>204</v>
      </c>
      <c r="J22" s="76">
        <v>6.9839999999999999E-2</v>
      </c>
    </row>
    <row r="23" spans="2:10" x14ac:dyDescent="0.3">
      <c r="B23" s="59" t="s">
        <v>176</v>
      </c>
      <c r="D23" s="76">
        <f>F10</f>
        <v>0.23833333333333331</v>
      </c>
      <c r="F23" s="59" t="s">
        <v>203</v>
      </c>
      <c r="J23" s="76">
        <f>RM!F6</f>
        <v>8.1652307692307705E-2</v>
      </c>
    </row>
    <row r="24" spans="2:10" ht="16.2" x14ac:dyDescent="0.3">
      <c r="B24" s="64" t="s">
        <v>202</v>
      </c>
      <c r="C24" s="64"/>
      <c r="D24" s="63">
        <f>D22*(1-D23)</f>
        <v>6.3980000000000009E-2</v>
      </c>
      <c r="F24" s="59" t="s">
        <v>201</v>
      </c>
      <c r="J24" s="77">
        <f>I18</f>
        <v>0.77346837978917615</v>
      </c>
    </row>
    <row r="25" spans="2:10" x14ac:dyDescent="0.3">
      <c r="F25" s="64" t="s">
        <v>200</v>
      </c>
      <c r="G25" s="64"/>
      <c r="H25" s="64"/>
      <c r="I25" s="64"/>
      <c r="J25" s="63">
        <f>J22+(J23*J24)</f>
        <v>0.13299547813681653</v>
      </c>
    </row>
    <row r="28" spans="2:10" x14ac:dyDescent="0.3">
      <c r="B28" s="67" t="s">
        <v>199</v>
      </c>
      <c r="C28" s="67"/>
      <c r="D28" s="67"/>
      <c r="E28" s="67"/>
      <c r="G28" s="67" t="s">
        <v>193</v>
      </c>
      <c r="H28" s="67"/>
      <c r="I28" s="67"/>
      <c r="J28" s="67"/>
    </row>
    <row r="30" spans="2:10" x14ac:dyDescent="0.3">
      <c r="D30" s="78" t="s">
        <v>198</v>
      </c>
      <c r="E30" s="78" t="s">
        <v>197</v>
      </c>
      <c r="G30" s="59" t="s">
        <v>196</v>
      </c>
      <c r="J30" s="77">
        <f>J18</f>
        <v>0.77222393932831079</v>
      </c>
    </row>
    <row r="31" spans="2:10" x14ac:dyDescent="0.3">
      <c r="B31" s="59" t="s">
        <v>178</v>
      </c>
      <c r="C31" s="70">
        <f>D10</f>
        <v>1478</v>
      </c>
      <c r="D31" s="76">
        <f>C31/C33</f>
        <v>2.7797708141029018E-3</v>
      </c>
      <c r="E31" s="76">
        <f>H17</f>
        <v>1.1478274195538887E-2</v>
      </c>
      <c r="G31" s="59" t="s">
        <v>195</v>
      </c>
      <c r="J31" s="65">
        <f>H17</f>
        <v>1.1478274195538887E-2</v>
      </c>
    </row>
    <row r="32" spans="2:10" x14ac:dyDescent="0.3">
      <c r="B32" s="75" t="s">
        <v>44</v>
      </c>
      <c r="C32" s="74">
        <f>E10</f>
        <v>530220.51</v>
      </c>
      <c r="D32" s="73">
        <f>C32/C33</f>
        <v>0.99722022918589714</v>
      </c>
      <c r="E32" s="72">
        <f>E33-E31</f>
        <v>0.98852172580446107</v>
      </c>
      <c r="G32" s="59" t="s">
        <v>176</v>
      </c>
      <c r="J32" s="71">
        <f>F18</f>
        <v>0.221</v>
      </c>
    </row>
    <row r="33" spans="2:10" x14ac:dyDescent="0.3">
      <c r="B33" s="59" t="s">
        <v>194</v>
      </c>
      <c r="C33" s="70">
        <f>C32+C31</f>
        <v>531698.51</v>
      </c>
      <c r="D33" s="65">
        <f>D31+D32</f>
        <v>1</v>
      </c>
      <c r="E33" s="65">
        <v>1</v>
      </c>
      <c r="F33" s="59" t="s">
        <v>131</v>
      </c>
      <c r="G33" s="64" t="s">
        <v>193</v>
      </c>
      <c r="H33" s="64"/>
      <c r="I33" s="64"/>
      <c r="J33" s="69">
        <f>J30*(1+(1-J32)*J31)</f>
        <v>0.77912883806065114</v>
      </c>
    </row>
    <row r="35" spans="2:10" x14ac:dyDescent="0.3">
      <c r="B35" s="59" t="s">
        <v>192</v>
      </c>
      <c r="D35" s="68">
        <f>D31/D32</f>
        <v>2.7875194793954687E-3</v>
      </c>
      <c r="E35" s="68">
        <f>E31/E32</f>
        <v>1.1611554805432165E-2</v>
      </c>
      <c r="G35" s="67" t="s">
        <v>183</v>
      </c>
      <c r="H35" s="67"/>
      <c r="I35" s="67"/>
      <c r="J35" s="67"/>
    </row>
    <row r="37" spans="2:10" x14ac:dyDescent="0.3">
      <c r="B37" s="62" t="s">
        <v>191</v>
      </c>
      <c r="I37" s="66" t="s">
        <v>190</v>
      </c>
      <c r="J37" s="66" t="s">
        <v>189</v>
      </c>
    </row>
    <row r="38" spans="2:10" x14ac:dyDescent="0.3">
      <c r="B38" s="62" t="s">
        <v>188</v>
      </c>
      <c r="G38" s="59" t="s">
        <v>187</v>
      </c>
      <c r="I38" s="65">
        <f>D24</f>
        <v>6.3980000000000009E-2</v>
      </c>
      <c r="J38" s="65">
        <f>E31</f>
        <v>1.1478274195538887E-2</v>
      </c>
    </row>
    <row r="39" spans="2:10" x14ac:dyDescent="0.3">
      <c r="B39" s="62" t="s">
        <v>186</v>
      </c>
      <c r="G39" s="59" t="s">
        <v>185</v>
      </c>
      <c r="I39" s="65">
        <f>J25</f>
        <v>0.13299547813681653</v>
      </c>
      <c r="J39" s="65">
        <f>E32</f>
        <v>0.98852172580446107</v>
      </c>
    </row>
    <row r="40" spans="2:10" x14ac:dyDescent="0.3">
      <c r="B40" s="62" t="s">
        <v>184</v>
      </c>
      <c r="G40" s="64" t="s">
        <v>183</v>
      </c>
      <c r="H40" s="64"/>
      <c r="I40" s="64"/>
      <c r="J40" s="63">
        <f>SUMPRODUCT(I38:I39,J38:J39)</f>
        <v>0.13220329955502594</v>
      </c>
    </row>
    <row r="41" spans="2:10" x14ac:dyDescent="0.3">
      <c r="B41" s="62" t="s">
        <v>182</v>
      </c>
    </row>
    <row r="53" spans="1:1" x14ac:dyDescent="0.3">
      <c r="A53" s="59" t="s">
        <v>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192B-C422-4378-80BD-1712B3878614}">
  <dimension ref="B2:V667"/>
  <sheetViews>
    <sheetView showGridLines="0" zoomScale="85" zoomScaleNormal="85" workbookViewId="0">
      <selection activeCell="J677" sqref="J677"/>
    </sheetView>
  </sheetViews>
  <sheetFormatPr defaultRowHeight="14.4" outlineLevelRow="1" x14ac:dyDescent="0.3"/>
  <cols>
    <col min="1" max="1" width="1.88671875" style="59" customWidth="1"/>
    <col min="2" max="2" width="13.33203125" style="59" customWidth="1"/>
    <col min="3" max="3" width="12.109375" style="59" bestFit="1" customWidth="1"/>
    <col min="4" max="4" width="12.33203125" style="59" customWidth="1"/>
    <col min="5" max="5" width="8.88671875" style="59"/>
    <col min="6" max="6" width="13.88671875" style="59" bestFit="1" customWidth="1"/>
    <col min="7" max="7" width="9.77734375" style="59" bestFit="1" customWidth="1"/>
    <col min="8" max="8" width="8.88671875" style="59"/>
    <col min="9" max="9" width="17.5546875" style="59" bestFit="1" customWidth="1"/>
    <col min="10" max="10" width="21" style="59" bestFit="1" customWidth="1"/>
    <col min="11" max="12" width="8.88671875" style="59"/>
    <col min="13" max="13" width="20.88671875" style="59" bestFit="1" customWidth="1"/>
    <col min="14" max="15" width="9" style="59" bestFit="1" customWidth="1"/>
    <col min="16" max="17" width="14.5546875" style="59" bestFit="1" customWidth="1"/>
    <col min="18" max="18" width="9" style="59" bestFit="1" customWidth="1"/>
    <col min="19" max="16384" width="8.88671875" style="59"/>
  </cols>
  <sheetData>
    <row r="2" spans="2:21" x14ac:dyDescent="0.3">
      <c r="B2" s="80" t="s">
        <v>255</v>
      </c>
    </row>
    <row r="4" spans="2:21" x14ac:dyDescent="0.3">
      <c r="B4" s="200" t="s">
        <v>321</v>
      </c>
      <c r="C4" s="200"/>
      <c r="D4" s="200"/>
      <c r="F4" s="200" t="s">
        <v>253</v>
      </c>
      <c r="G4" s="200"/>
      <c r="I4" s="200" t="s">
        <v>252</v>
      </c>
      <c r="J4" s="200"/>
      <c r="M4" s="77"/>
    </row>
    <row r="5" spans="2:21" hidden="1" outlineLevel="1" x14ac:dyDescent="0.3">
      <c r="M5" s="77"/>
    </row>
    <row r="6" spans="2:21" hidden="1" outlineLevel="1" x14ac:dyDescent="0.3">
      <c r="B6" s="67" t="s">
        <v>251</v>
      </c>
      <c r="C6" s="98" t="s">
        <v>250</v>
      </c>
      <c r="D6" s="67" t="s">
        <v>249</v>
      </c>
      <c r="F6" s="98" t="s">
        <v>250</v>
      </c>
      <c r="G6" s="67" t="s">
        <v>249</v>
      </c>
      <c r="I6" s="59" t="s">
        <v>248</v>
      </c>
      <c r="J6" s="77">
        <f>M7</f>
        <v>0.63548825566240474</v>
      </c>
      <c r="L6" s="135" t="s">
        <v>247</v>
      </c>
      <c r="M6" s="77">
        <f>SLOPE(D8:D112,G8:G112)</f>
        <v>0.63548825566240497</v>
      </c>
    </row>
    <row r="7" spans="2:21" hidden="1" outlineLevel="1" x14ac:dyDescent="0.3">
      <c r="B7" s="100">
        <v>45425</v>
      </c>
      <c r="C7" s="77">
        <v>2236.9</v>
      </c>
      <c r="D7" s="76" t="s">
        <v>59</v>
      </c>
      <c r="F7" s="94">
        <v>22466.1</v>
      </c>
      <c r="G7" s="97" t="s">
        <v>59</v>
      </c>
      <c r="I7" s="59" t="s">
        <v>246</v>
      </c>
      <c r="J7" s="60">
        <v>0.75</v>
      </c>
      <c r="L7" s="135" t="s">
        <v>245</v>
      </c>
      <c r="M7" s="77">
        <f>_xlfn.COVARIANCE.S(D8:D112,G8:G112)/_xlfn.VAR.S(G8:G112)</f>
        <v>0.63548825566240474</v>
      </c>
    </row>
    <row r="8" spans="2:21" hidden="1" outlineLevel="1" x14ac:dyDescent="0.3">
      <c r="B8" s="100">
        <v>45432</v>
      </c>
      <c r="C8" s="77">
        <v>2277.17</v>
      </c>
      <c r="D8" s="76">
        <f>(C8-C7)/C7</f>
        <v>1.8002592874066779E-2</v>
      </c>
      <c r="F8" s="94">
        <v>22957.1</v>
      </c>
      <c r="G8" s="76">
        <f t="shared" ref="G8:G39" si="0">(F8-F7)/F7</f>
        <v>2.1855150649200353E-2</v>
      </c>
      <c r="I8" s="59" t="s">
        <v>244</v>
      </c>
      <c r="J8" s="59">
        <v>1</v>
      </c>
      <c r="L8" s="135" t="s">
        <v>254</v>
      </c>
      <c r="M8" t="s">
        <v>243</v>
      </c>
      <c r="N8"/>
      <c r="O8"/>
      <c r="P8"/>
      <c r="Q8"/>
      <c r="R8"/>
      <c r="S8"/>
      <c r="T8"/>
      <c r="U8"/>
    </row>
    <row r="9" spans="2:21" ht="15" hidden="1" outlineLevel="1" thickBot="1" x14ac:dyDescent="0.35">
      <c r="B9" s="100">
        <v>45439</v>
      </c>
      <c r="C9" s="77">
        <v>2238.7199999999998</v>
      </c>
      <c r="D9" s="76">
        <f t="shared" ref="D9:D72" si="1">(C9-C8)/C8</f>
        <v>-1.6884993215262923E-2</v>
      </c>
      <c r="F9" s="94">
        <v>22530.7</v>
      </c>
      <c r="G9" s="76">
        <f t="shared" si="0"/>
        <v>-1.8573774562117944E-2</v>
      </c>
      <c r="I9" s="59" t="s">
        <v>242</v>
      </c>
      <c r="J9" s="60">
        <v>0.25</v>
      </c>
      <c r="M9"/>
      <c r="N9"/>
      <c r="O9"/>
      <c r="P9"/>
      <c r="Q9"/>
      <c r="R9"/>
      <c r="S9"/>
      <c r="T9"/>
      <c r="U9"/>
    </row>
    <row r="10" spans="2:21" hidden="1" outlineLevel="1" x14ac:dyDescent="0.3">
      <c r="B10" s="100">
        <v>45446</v>
      </c>
      <c r="C10" s="77">
        <v>2477.8200000000002</v>
      </c>
      <c r="D10" s="76">
        <f t="shared" si="1"/>
        <v>0.10680210120068628</v>
      </c>
      <c r="F10" s="94">
        <v>23290.15</v>
      </c>
      <c r="G10" s="76">
        <f t="shared" si="0"/>
        <v>3.3707341538434257E-2</v>
      </c>
      <c r="I10" s="96" t="s">
        <v>241</v>
      </c>
      <c r="J10" s="95">
        <f>(J6*J7)+(J8*J9)</f>
        <v>0.72661619174680359</v>
      </c>
      <c r="M10" s="143" t="s">
        <v>240</v>
      </c>
      <c r="N10" s="143"/>
      <c r="O10"/>
      <c r="P10"/>
      <c r="Q10"/>
      <c r="R10"/>
      <c r="S10"/>
      <c r="T10"/>
      <c r="U10"/>
    </row>
    <row r="11" spans="2:21" hidden="1" outlineLevel="1" x14ac:dyDescent="0.3">
      <c r="B11" s="100">
        <v>45453</v>
      </c>
      <c r="C11" s="77">
        <v>2383.58</v>
      </c>
      <c r="D11" s="76">
        <f t="shared" si="1"/>
        <v>-3.8033432614152859E-2</v>
      </c>
      <c r="F11" s="94">
        <v>23465.599999999999</v>
      </c>
      <c r="G11" s="76">
        <f t="shared" si="0"/>
        <v>7.5332275661598178E-3</v>
      </c>
      <c r="M11" t="s">
        <v>239</v>
      </c>
      <c r="N11">
        <v>0.41174142751410631</v>
      </c>
      <c r="O11"/>
      <c r="P11"/>
      <c r="Q11"/>
      <c r="R11"/>
      <c r="S11"/>
      <c r="T11"/>
      <c r="U11"/>
    </row>
    <row r="12" spans="2:21" hidden="1" outlineLevel="1" x14ac:dyDescent="0.3">
      <c r="B12" s="100">
        <v>45460</v>
      </c>
      <c r="C12" s="77">
        <v>2369.48</v>
      </c>
      <c r="D12" s="76">
        <f t="shared" si="1"/>
        <v>-5.9154716854479018E-3</v>
      </c>
      <c r="F12" s="94">
        <v>23501.1</v>
      </c>
      <c r="G12" s="76">
        <f t="shared" si="0"/>
        <v>1.5128528569480432E-3</v>
      </c>
      <c r="M12" t="s">
        <v>238</v>
      </c>
      <c r="N12">
        <v>0.16953100313135408</v>
      </c>
      <c r="O12"/>
      <c r="P12"/>
      <c r="Q12"/>
      <c r="R12"/>
      <c r="S12"/>
      <c r="T12"/>
      <c r="U12"/>
    </row>
    <row r="13" spans="2:21" hidden="1" outlineLevel="1" x14ac:dyDescent="0.3">
      <c r="B13" s="100">
        <v>45467</v>
      </c>
      <c r="C13" s="77">
        <v>2400.3000000000002</v>
      </c>
      <c r="D13" s="76">
        <f t="shared" si="1"/>
        <v>1.3007073281901583E-2</v>
      </c>
      <c r="F13" s="94">
        <v>24010.6</v>
      </c>
      <c r="G13" s="76">
        <f t="shared" si="0"/>
        <v>2.1679836262983435E-2</v>
      </c>
      <c r="M13" t="s">
        <v>237</v>
      </c>
      <c r="N13">
        <v>0.16146819733651285</v>
      </c>
      <c r="O13"/>
      <c r="P13"/>
      <c r="Q13"/>
      <c r="R13"/>
      <c r="S13"/>
      <c r="T13"/>
      <c r="U13"/>
    </row>
    <row r="14" spans="2:21" hidden="1" outlineLevel="1" x14ac:dyDescent="0.3">
      <c r="B14" s="100">
        <v>45474</v>
      </c>
      <c r="C14" s="77">
        <v>2472.0700000000002</v>
      </c>
      <c r="D14" s="76">
        <f t="shared" si="1"/>
        <v>2.9900429113027528E-2</v>
      </c>
      <c r="F14" s="94">
        <v>24323.85</v>
      </c>
      <c r="G14" s="76">
        <f t="shared" si="0"/>
        <v>1.3046321208133075E-2</v>
      </c>
      <c r="M14" t="s">
        <v>226</v>
      </c>
      <c r="N14">
        <v>2.681685794132288E-2</v>
      </c>
      <c r="O14"/>
      <c r="P14"/>
      <c r="Q14"/>
      <c r="R14"/>
      <c r="S14"/>
      <c r="T14"/>
      <c r="U14"/>
    </row>
    <row r="15" spans="2:21" ht="15" hidden="1" outlineLevel="1" thickBot="1" x14ac:dyDescent="0.35">
      <c r="B15" s="100">
        <v>45481</v>
      </c>
      <c r="C15" s="77">
        <v>2545.11</v>
      </c>
      <c r="D15" s="76">
        <f t="shared" si="1"/>
        <v>2.9546088905249429E-2</v>
      </c>
      <c r="F15" s="94">
        <v>24502.15</v>
      </c>
      <c r="G15" s="76">
        <f t="shared" si="0"/>
        <v>7.3302540510652272E-3</v>
      </c>
      <c r="M15" s="141" t="s">
        <v>236</v>
      </c>
      <c r="N15" s="141">
        <v>105</v>
      </c>
      <c r="O15"/>
      <c r="P15"/>
      <c r="Q15"/>
      <c r="R15"/>
      <c r="S15"/>
      <c r="T15"/>
      <c r="U15"/>
    </row>
    <row r="16" spans="2:21" hidden="1" outlineLevel="1" x14ac:dyDescent="0.3">
      <c r="B16" s="100">
        <v>45488</v>
      </c>
      <c r="C16" s="77">
        <v>2646.78</v>
      </c>
      <c r="D16" s="76">
        <f t="shared" si="1"/>
        <v>3.9947192852175371E-2</v>
      </c>
      <c r="F16" s="94">
        <v>24530.9</v>
      </c>
      <c r="G16" s="76">
        <f t="shared" si="0"/>
        <v>1.1733664188652831E-3</v>
      </c>
      <c r="M16"/>
      <c r="N16"/>
      <c r="O16"/>
      <c r="P16"/>
      <c r="Q16"/>
      <c r="R16"/>
      <c r="S16"/>
      <c r="T16"/>
      <c r="U16"/>
    </row>
    <row r="17" spans="2:21" ht="15" hidden="1" outlineLevel="1" thickBot="1" x14ac:dyDescent="0.35">
      <c r="B17" s="100">
        <v>45495</v>
      </c>
      <c r="C17" s="77">
        <v>2631.29</v>
      </c>
      <c r="D17" s="76">
        <f t="shared" si="1"/>
        <v>-5.8523942299700902E-3</v>
      </c>
      <c r="F17" s="94">
        <v>24834.85</v>
      </c>
      <c r="G17" s="76">
        <f t="shared" si="0"/>
        <v>1.2390495252925782E-2</v>
      </c>
      <c r="M17" t="s">
        <v>235</v>
      </c>
      <c r="N17"/>
      <c r="O17"/>
      <c r="P17"/>
      <c r="Q17"/>
      <c r="R17"/>
      <c r="S17"/>
      <c r="T17"/>
      <c r="U17"/>
    </row>
    <row r="18" spans="2:21" hidden="1" outlineLevel="1" x14ac:dyDescent="0.3">
      <c r="B18" s="100">
        <v>45502</v>
      </c>
      <c r="C18" s="77">
        <v>2613.34</v>
      </c>
      <c r="D18" s="76">
        <f t="shared" si="1"/>
        <v>-6.8217490280432103E-3</v>
      </c>
      <c r="F18" s="94">
        <v>24717.7</v>
      </c>
      <c r="G18" s="76">
        <f t="shared" si="0"/>
        <v>-4.7171615693268861E-3</v>
      </c>
      <c r="M18" s="142"/>
      <c r="N18" s="142" t="s">
        <v>234</v>
      </c>
      <c r="O18" s="142" t="s">
        <v>233</v>
      </c>
      <c r="P18" s="142" t="s">
        <v>232</v>
      </c>
      <c r="Q18" s="142" t="s">
        <v>231</v>
      </c>
      <c r="R18" s="142" t="s">
        <v>230</v>
      </c>
      <c r="S18"/>
      <c r="T18"/>
      <c r="U18"/>
    </row>
    <row r="19" spans="2:21" hidden="1" outlineLevel="1" x14ac:dyDescent="0.3">
      <c r="B19" s="100">
        <v>45509</v>
      </c>
      <c r="C19" s="77">
        <v>2666.38</v>
      </c>
      <c r="D19" s="76">
        <f t="shared" si="1"/>
        <v>2.0295866592177046E-2</v>
      </c>
      <c r="F19" s="94">
        <v>24367.5</v>
      </c>
      <c r="G19" s="76">
        <f t="shared" si="0"/>
        <v>-1.416798488532512E-2</v>
      </c>
      <c r="M19" t="s">
        <v>229</v>
      </c>
      <c r="N19">
        <v>1</v>
      </c>
      <c r="O19">
        <v>1.5120937394846837E-2</v>
      </c>
      <c r="P19">
        <v>1.5120937394846837E-2</v>
      </c>
      <c r="Q19">
        <v>21.02630367704306</v>
      </c>
      <c r="R19">
        <v>1.2783630157989173E-5</v>
      </c>
      <c r="S19"/>
      <c r="T19"/>
      <c r="U19"/>
    </row>
    <row r="20" spans="2:21" hidden="1" outlineLevel="1" x14ac:dyDescent="0.3">
      <c r="B20" s="100">
        <v>45516</v>
      </c>
      <c r="C20" s="77">
        <v>2667.4</v>
      </c>
      <c r="D20" s="76">
        <f t="shared" si="1"/>
        <v>3.82541123170734E-4</v>
      </c>
      <c r="F20" s="94">
        <v>24541.15</v>
      </c>
      <c r="G20" s="76">
        <f t="shared" si="0"/>
        <v>7.1262952703396512E-3</v>
      </c>
      <c r="M20" t="s">
        <v>228</v>
      </c>
      <c r="N20">
        <v>103</v>
      </c>
      <c r="O20">
        <v>7.4071818594044492E-2</v>
      </c>
      <c r="P20">
        <v>7.1914386984509211E-4</v>
      </c>
      <c r="Q20"/>
      <c r="R20"/>
      <c r="S20"/>
      <c r="T20"/>
      <c r="U20"/>
    </row>
    <row r="21" spans="2:21" ht="15" hidden="1" outlineLevel="1" thickBot="1" x14ac:dyDescent="0.35">
      <c r="B21" s="100">
        <v>45523</v>
      </c>
      <c r="C21" s="77">
        <v>2732.77</v>
      </c>
      <c r="D21" s="76">
        <f t="shared" si="1"/>
        <v>2.4507010572092633E-2</v>
      </c>
      <c r="F21" s="94">
        <v>24823.15</v>
      </c>
      <c r="G21" s="76">
        <f t="shared" si="0"/>
        <v>1.1490904052988551E-2</v>
      </c>
      <c r="M21" s="141" t="s">
        <v>13</v>
      </c>
      <c r="N21" s="141">
        <v>104</v>
      </c>
      <c r="O21" s="141">
        <v>8.9192755988891329E-2</v>
      </c>
      <c r="P21" s="141"/>
      <c r="Q21" s="141"/>
      <c r="R21" s="141"/>
      <c r="S21"/>
      <c r="T21"/>
      <c r="U21"/>
    </row>
    <row r="22" spans="2:21" ht="15" hidden="1" outlineLevel="1" thickBot="1" x14ac:dyDescent="0.35">
      <c r="B22" s="100">
        <v>45530</v>
      </c>
      <c r="C22" s="77">
        <v>2696.28</v>
      </c>
      <c r="D22" s="76">
        <f t="shared" si="1"/>
        <v>-1.3352751969613171E-2</v>
      </c>
      <c r="F22" s="94">
        <v>25235.9</v>
      </c>
      <c r="G22" s="76">
        <f t="shared" si="0"/>
        <v>1.6627623810837867E-2</v>
      </c>
      <c r="M22"/>
      <c r="N22"/>
      <c r="O22"/>
      <c r="P22"/>
      <c r="Q22"/>
      <c r="R22"/>
      <c r="S22"/>
      <c r="T22"/>
      <c r="U22"/>
    </row>
    <row r="23" spans="2:21" hidden="1" outlineLevel="1" x14ac:dyDescent="0.3">
      <c r="B23" s="100">
        <v>45537</v>
      </c>
      <c r="C23" s="77">
        <v>2755.43</v>
      </c>
      <c r="D23" s="76">
        <f t="shared" si="1"/>
        <v>2.1937632590086947E-2</v>
      </c>
      <c r="F23" s="94">
        <v>24852.15</v>
      </c>
      <c r="G23" s="76">
        <f t="shared" si="0"/>
        <v>-1.5206511358818191E-2</v>
      </c>
      <c r="M23" s="142"/>
      <c r="N23" s="142" t="s">
        <v>227</v>
      </c>
      <c r="O23" s="142" t="s">
        <v>226</v>
      </c>
      <c r="P23" s="142" t="s">
        <v>225</v>
      </c>
      <c r="Q23" s="142" t="s">
        <v>224</v>
      </c>
      <c r="R23" s="142" t="s">
        <v>223</v>
      </c>
      <c r="S23" s="142" t="s">
        <v>222</v>
      </c>
      <c r="T23" s="142" t="s">
        <v>221</v>
      </c>
      <c r="U23" s="142" t="s">
        <v>220</v>
      </c>
    </row>
    <row r="24" spans="2:21" hidden="1" outlineLevel="1" x14ac:dyDescent="0.3">
      <c r="B24" s="100">
        <v>45544</v>
      </c>
      <c r="C24" s="77">
        <v>2846.67</v>
      </c>
      <c r="D24" s="76">
        <f t="shared" si="1"/>
        <v>3.3112799091249007E-2</v>
      </c>
      <c r="F24" s="94">
        <v>25356.5</v>
      </c>
      <c r="G24" s="76">
        <f t="shared" si="0"/>
        <v>2.029401882734486E-2</v>
      </c>
      <c r="M24" t="s">
        <v>219</v>
      </c>
      <c r="N24">
        <v>1.8454122521943352E-4</v>
      </c>
      <c r="O24">
        <v>2.6183602957849149E-3</v>
      </c>
      <c r="P24">
        <v>7.0479691246659759E-2</v>
      </c>
      <c r="Q24">
        <v>0.94394852540090379</v>
      </c>
      <c r="R24">
        <v>-5.0083588675092208E-3</v>
      </c>
      <c r="S24">
        <v>5.3774413179480873E-3</v>
      </c>
      <c r="T24">
        <v>-5.0083588675092208E-3</v>
      </c>
      <c r="U24">
        <v>5.3774413179480873E-3</v>
      </c>
    </row>
    <row r="25" spans="2:21" ht="15" hidden="1" outlineLevel="1" thickBot="1" x14ac:dyDescent="0.35">
      <c r="B25" s="100">
        <v>45551</v>
      </c>
      <c r="C25" s="77">
        <v>2890</v>
      </c>
      <c r="D25" s="76">
        <f t="shared" si="1"/>
        <v>1.5221293651880944E-2</v>
      </c>
      <c r="F25" s="94">
        <v>25790.95</v>
      </c>
      <c r="G25" s="76">
        <f t="shared" si="0"/>
        <v>1.7133673811448771E-2</v>
      </c>
      <c r="M25" s="141" t="s">
        <v>218</v>
      </c>
      <c r="N25" s="141">
        <v>0.63548825566240519</v>
      </c>
      <c r="O25" s="141">
        <v>0.13858813887632032</v>
      </c>
      <c r="P25" s="141">
        <v>4.5854447632746664</v>
      </c>
      <c r="Q25" s="141">
        <v>1.2783630157989173E-5</v>
      </c>
      <c r="R25" s="141">
        <v>0.36063136893811421</v>
      </c>
      <c r="S25" s="141">
        <v>0.91034514238669617</v>
      </c>
      <c r="T25" s="141">
        <v>0.36063136893811421</v>
      </c>
      <c r="U25" s="141">
        <v>0.91034514238669617</v>
      </c>
    </row>
    <row r="26" spans="2:21" hidden="1" outlineLevel="1" x14ac:dyDescent="0.3">
      <c r="B26" s="100">
        <v>45558</v>
      </c>
      <c r="C26" s="77">
        <v>2878.99</v>
      </c>
      <c r="D26" s="76">
        <f t="shared" si="1"/>
        <v>-3.8096885813149544E-3</v>
      </c>
      <c r="F26" s="94">
        <v>26178.95</v>
      </c>
      <c r="G26" s="76">
        <f t="shared" si="0"/>
        <v>1.5044036764834175E-2</v>
      </c>
      <c r="M26"/>
      <c r="N26"/>
      <c r="O26"/>
      <c r="P26"/>
      <c r="Q26"/>
      <c r="R26"/>
      <c r="S26"/>
      <c r="T26"/>
      <c r="U26"/>
    </row>
    <row r="27" spans="2:21" hidden="1" outlineLevel="1" x14ac:dyDescent="0.3">
      <c r="B27" s="100">
        <v>45565</v>
      </c>
      <c r="C27" s="77">
        <v>2764.94</v>
      </c>
      <c r="D27" s="76">
        <f t="shared" si="1"/>
        <v>-3.9614587060045274E-2</v>
      </c>
      <c r="F27" s="94">
        <v>25014.6</v>
      </c>
      <c r="G27" s="76">
        <f t="shared" si="0"/>
        <v>-4.4476573735768708E-2</v>
      </c>
      <c r="M27"/>
      <c r="N27"/>
      <c r="O27"/>
      <c r="P27"/>
      <c r="Q27"/>
      <c r="R27"/>
      <c r="S27"/>
      <c r="T27"/>
      <c r="U27"/>
    </row>
    <row r="28" spans="2:21" hidden="1" outlineLevel="1" x14ac:dyDescent="0.3">
      <c r="B28" s="100">
        <v>45572</v>
      </c>
      <c r="C28" s="77">
        <v>2701.32</v>
      </c>
      <c r="D28" s="76">
        <f t="shared" si="1"/>
        <v>-2.300954089419658E-2</v>
      </c>
      <c r="F28" s="94">
        <v>24964.25</v>
      </c>
      <c r="G28" s="76">
        <f t="shared" si="0"/>
        <v>-2.012824510485818E-3</v>
      </c>
      <c r="M28"/>
      <c r="N28"/>
      <c r="O28"/>
      <c r="P28"/>
      <c r="Q28"/>
      <c r="R28"/>
      <c r="S28"/>
      <c r="T28"/>
      <c r="U28"/>
    </row>
    <row r="29" spans="2:21" hidden="1" outlineLevel="1" x14ac:dyDescent="0.3">
      <c r="B29" s="100">
        <v>45579</v>
      </c>
      <c r="C29" s="77">
        <v>2637.17</v>
      </c>
      <c r="D29" s="76">
        <f t="shared" si="1"/>
        <v>-2.3747649297380571E-2</v>
      </c>
      <c r="F29" s="94">
        <v>24854.05</v>
      </c>
      <c r="G29" s="76">
        <f t="shared" si="0"/>
        <v>-4.4143124668275923E-3</v>
      </c>
    </row>
    <row r="30" spans="2:21" hidden="1" outlineLevel="1" x14ac:dyDescent="0.3">
      <c r="B30" s="100">
        <v>45586</v>
      </c>
      <c r="C30" s="77">
        <v>2453.6799999999998</v>
      </c>
      <c r="D30" s="76">
        <f t="shared" si="1"/>
        <v>-6.9578373787052117E-2</v>
      </c>
      <c r="F30" s="94">
        <v>24180.799999999999</v>
      </c>
      <c r="G30" s="76">
        <f t="shared" si="0"/>
        <v>-2.7088140564616229E-2</v>
      </c>
    </row>
    <row r="31" spans="2:21" hidden="1" outlineLevel="1" x14ac:dyDescent="0.3">
      <c r="B31" s="100">
        <v>45593</v>
      </c>
      <c r="C31" s="77">
        <v>2462.85</v>
      </c>
      <c r="D31" s="76">
        <f t="shared" si="1"/>
        <v>3.7372436503537842E-3</v>
      </c>
      <c r="F31" s="94">
        <v>24304.35</v>
      </c>
      <c r="G31" s="76">
        <f t="shared" si="0"/>
        <v>5.1094256600277606E-3</v>
      </c>
    </row>
    <row r="32" spans="2:21" hidden="1" outlineLevel="1" x14ac:dyDescent="0.3">
      <c r="B32" s="100">
        <v>45600</v>
      </c>
      <c r="C32" s="77">
        <v>2433.9299999999998</v>
      </c>
      <c r="D32" s="76">
        <f t="shared" si="1"/>
        <v>-1.174249345270726E-2</v>
      </c>
      <c r="F32" s="94">
        <v>24148.2</v>
      </c>
      <c r="G32" s="76">
        <f t="shared" si="0"/>
        <v>-6.424775811737316E-3</v>
      </c>
    </row>
    <row r="33" spans="2:7" hidden="1" outlineLevel="1" x14ac:dyDescent="0.3">
      <c r="B33" s="100">
        <v>45607</v>
      </c>
      <c r="C33" s="77">
        <v>2345.9</v>
      </c>
      <c r="D33" s="76">
        <f t="shared" si="1"/>
        <v>-3.6167843775293355E-2</v>
      </c>
      <c r="F33" s="94">
        <v>23532.7</v>
      </c>
      <c r="G33" s="76">
        <f t="shared" si="0"/>
        <v>-2.5488442202731467E-2</v>
      </c>
    </row>
    <row r="34" spans="2:7" hidden="1" outlineLevel="1" x14ac:dyDescent="0.3">
      <c r="B34" s="100">
        <v>45614</v>
      </c>
      <c r="C34" s="77">
        <v>2400.9299999999998</v>
      </c>
      <c r="D34" s="76">
        <f t="shared" si="1"/>
        <v>2.3457947909117927E-2</v>
      </c>
      <c r="F34" s="94">
        <v>23907.25</v>
      </c>
      <c r="G34" s="76">
        <f t="shared" si="0"/>
        <v>1.5916150717937137E-2</v>
      </c>
    </row>
    <row r="35" spans="2:7" hidden="1" outlineLevel="1" x14ac:dyDescent="0.3">
      <c r="B35" s="100">
        <v>45621</v>
      </c>
      <c r="C35" s="77">
        <v>2450.91</v>
      </c>
      <c r="D35" s="76">
        <f t="shared" si="1"/>
        <v>2.0816933438292672E-2</v>
      </c>
      <c r="F35" s="94">
        <v>24131.1</v>
      </c>
      <c r="G35" s="76">
        <f t="shared" si="0"/>
        <v>9.3632684645870417E-3</v>
      </c>
    </row>
    <row r="36" spans="2:7" hidden="1" outlineLevel="1" x14ac:dyDescent="0.3">
      <c r="B36" s="100">
        <v>45628</v>
      </c>
      <c r="C36" s="77">
        <v>2438.7800000000002</v>
      </c>
      <c r="D36" s="76">
        <f t="shared" si="1"/>
        <v>-4.9491821405109344E-3</v>
      </c>
      <c r="F36" s="94">
        <v>24677.8</v>
      </c>
      <c r="G36" s="76">
        <f t="shared" si="0"/>
        <v>2.265541148144928E-2</v>
      </c>
    </row>
    <row r="37" spans="2:7" hidden="1" outlineLevel="1" x14ac:dyDescent="0.3">
      <c r="B37" s="100">
        <v>45635</v>
      </c>
      <c r="C37" s="77">
        <v>2346.7800000000002</v>
      </c>
      <c r="D37" s="76">
        <f t="shared" si="1"/>
        <v>-3.7723779922748259E-2</v>
      </c>
      <c r="F37" s="94">
        <v>24768.3</v>
      </c>
      <c r="G37" s="76">
        <f t="shared" si="0"/>
        <v>3.6672636944946472E-3</v>
      </c>
    </row>
    <row r="38" spans="2:7" hidden="1" outlineLevel="1" x14ac:dyDescent="0.3">
      <c r="B38" s="100">
        <v>45642</v>
      </c>
      <c r="C38" s="77">
        <v>2291.6</v>
      </c>
      <c r="D38" s="76">
        <f t="shared" si="1"/>
        <v>-2.3513068971100951E-2</v>
      </c>
      <c r="F38" s="94">
        <v>23587.5</v>
      </c>
      <c r="G38" s="76">
        <f t="shared" si="0"/>
        <v>-4.7673841159869647E-2</v>
      </c>
    </row>
    <row r="39" spans="2:7" hidden="1" outlineLevel="1" x14ac:dyDescent="0.3">
      <c r="B39" s="100">
        <v>45649</v>
      </c>
      <c r="C39" s="77">
        <v>2298.81</v>
      </c>
      <c r="D39" s="76">
        <f t="shared" si="1"/>
        <v>3.1462733461337217E-3</v>
      </c>
      <c r="F39" s="94">
        <v>23813.4</v>
      </c>
      <c r="G39" s="76">
        <f t="shared" si="0"/>
        <v>9.5771065182830503E-3</v>
      </c>
    </row>
    <row r="40" spans="2:7" hidden="1" outlineLevel="1" x14ac:dyDescent="0.3">
      <c r="B40" s="100">
        <v>45656</v>
      </c>
      <c r="C40" s="77">
        <v>2362.64</v>
      </c>
      <c r="D40" s="76">
        <f t="shared" si="1"/>
        <v>2.776654007943237E-2</v>
      </c>
      <c r="F40" s="94">
        <v>24004.75</v>
      </c>
      <c r="G40" s="76">
        <f t="shared" ref="G40:G71" si="2">(F40-F39)/F39</f>
        <v>8.0353918382086772E-3</v>
      </c>
    </row>
    <row r="41" spans="2:7" hidden="1" outlineLevel="1" x14ac:dyDescent="0.3">
      <c r="B41" s="100">
        <v>45663</v>
      </c>
      <c r="C41" s="77">
        <v>2397.79</v>
      </c>
      <c r="D41" s="76">
        <f t="shared" si="1"/>
        <v>1.4877425253106733E-2</v>
      </c>
      <c r="F41" s="94">
        <v>23431.5</v>
      </c>
      <c r="G41" s="76">
        <f t="shared" si="2"/>
        <v>-2.3880690280048741E-2</v>
      </c>
    </row>
    <row r="42" spans="2:7" hidden="1" outlineLevel="1" x14ac:dyDescent="0.3">
      <c r="B42" s="100">
        <v>45670</v>
      </c>
      <c r="C42" s="77">
        <v>2311.33</v>
      </c>
      <c r="D42" s="76">
        <f t="shared" si="1"/>
        <v>-3.6058203595811161E-2</v>
      </c>
      <c r="F42" s="94">
        <v>23203.200000000001</v>
      </c>
      <c r="G42" s="76">
        <f t="shared" si="2"/>
        <v>-9.7432942833365031E-3</v>
      </c>
    </row>
    <row r="43" spans="2:7" hidden="1" outlineLevel="1" x14ac:dyDescent="0.3">
      <c r="B43" s="100">
        <v>45677</v>
      </c>
      <c r="C43" s="77">
        <v>2325.1799999999998</v>
      </c>
      <c r="D43" s="76">
        <f t="shared" si="1"/>
        <v>5.9922209290754281E-3</v>
      </c>
      <c r="F43" s="94">
        <v>23092.2</v>
      </c>
      <c r="G43" s="76">
        <f t="shared" si="2"/>
        <v>-4.7838229209764167E-3</v>
      </c>
    </row>
    <row r="44" spans="2:7" hidden="1" outlineLevel="1" x14ac:dyDescent="0.3">
      <c r="B44" s="100">
        <v>45684</v>
      </c>
      <c r="C44" s="77">
        <v>2460.63</v>
      </c>
      <c r="D44" s="76">
        <f t="shared" si="1"/>
        <v>5.8253554563517787E-2</v>
      </c>
      <c r="F44" s="94">
        <v>23482.15</v>
      </c>
      <c r="G44" s="76">
        <f t="shared" si="2"/>
        <v>1.6886654368141654E-2</v>
      </c>
    </row>
    <row r="45" spans="2:7" hidden="1" outlineLevel="1" x14ac:dyDescent="0.3">
      <c r="B45" s="100">
        <v>45691</v>
      </c>
      <c r="C45" s="77">
        <v>2321</v>
      </c>
      <c r="D45" s="76">
        <f t="shared" si="1"/>
        <v>-5.6745630184139875E-2</v>
      </c>
      <c r="F45" s="94">
        <v>23559.95</v>
      </c>
      <c r="G45" s="76">
        <f t="shared" si="2"/>
        <v>3.313154885732323E-3</v>
      </c>
    </row>
    <row r="46" spans="2:7" hidden="1" outlineLevel="1" x14ac:dyDescent="0.3">
      <c r="B46" s="100">
        <v>45698</v>
      </c>
      <c r="C46" s="77">
        <v>2276.33</v>
      </c>
      <c r="D46" s="76">
        <f t="shared" si="1"/>
        <v>-1.9246014648858282E-2</v>
      </c>
      <c r="F46" s="94">
        <v>22929.25</v>
      </c>
      <c r="G46" s="76">
        <f t="shared" si="2"/>
        <v>-2.6770005878620315E-2</v>
      </c>
    </row>
    <row r="47" spans="2:7" hidden="1" outlineLevel="1" x14ac:dyDescent="0.3">
      <c r="B47" s="100">
        <v>45705</v>
      </c>
      <c r="C47" s="77">
        <v>2201.02</v>
      </c>
      <c r="D47" s="76">
        <f t="shared" si="1"/>
        <v>-3.308395531403617E-2</v>
      </c>
      <c r="F47" s="94">
        <v>22795.9</v>
      </c>
      <c r="G47" s="76">
        <f t="shared" si="2"/>
        <v>-5.8157157342694828E-3</v>
      </c>
    </row>
    <row r="48" spans="2:7" hidden="1" outlineLevel="1" x14ac:dyDescent="0.3">
      <c r="B48" s="100">
        <v>45712</v>
      </c>
      <c r="C48" s="77">
        <v>2150.5500000000002</v>
      </c>
      <c r="D48" s="76">
        <f t="shared" si="1"/>
        <v>-2.293027778030177E-2</v>
      </c>
      <c r="F48" s="94">
        <v>22124.7</v>
      </c>
      <c r="G48" s="76">
        <f t="shared" si="2"/>
        <v>-2.9443891226053839E-2</v>
      </c>
    </row>
    <row r="49" spans="2:7" hidden="1" outlineLevel="1" x14ac:dyDescent="0.3">
      <c r="B49" s="100">
        <v>45719</v>
      </c>
      <c r="C49" s="77">
        <v>2164.59</v>
      </c>
      <c r="D49" s="76">
        <f t="shared" si="1"/>
        <v>6.5285624607658334E-3</v>
      </c>
      <c r="F49" s="94">
        <v>22552.5</v>
      </c>
      <c r="G49" s="76">
        <f t="shared" si="2"/>
        <v>1.9335855401429139E-2</v>
      </c>
    </row>
    <row r="50" spans="2:7" hidden="1" outlineLevel="1" x14ac:dyDescent="0.3">
      <c r="B50" s="100">
        <v>45726</v>
      </c>
      <c r="C50" s="77">
        <v>2135.38</v>
      </c>
      <c r="D50" s="76">
        <f t="shared" si="1"/>
        <v>-1.3494472394310255E-2</v>
      </c>
      <c r="F50" s="94">
        <v>22397.200000000001</v>
      </c>
      <c r="G50" s="76">
        <f t="shared" si="2"/>
        <v>-6.8861545283227703E-3</v>
      </c>
    </row>
    <row r="51" spans="2:7" hidden="1" outlineLevel="1" x14ac:dyDescent="0.3">
      <c r="B51" s="100">
        <v>45733</v>
      </c>
      <c r="C51" s="77">
        <v>2205.4899999999998</v>
      </c>
      <c r="D51" s="76">
        <f t="shared" si="1"/>
        <v>3.2832563759143417E-2</v>
      </c>
      <c r="F51" s="94">
        <v>23350.400000000001</v>
      </c>
      <c r="G51" s="76">
        <f t="shared" si="2"/>
        <v>4.2558891289982706E-2</v>
      </c>
    </row>
    <row r="52" spans="2:7" hidden="1" outlineLevel="1" x14ac:dyDescent="0.3">
      <c r="B52" s="100">
        <v>45740</v>
      </c>
      <c r="C52" s="77">
        <v>2217.91</v>
      </c>
      <c r="D52" s="76">
        <f t="shared" si="1"/>
        <v>5.6314016386381591E-3</v>
      </c>
      <c r="F52" s="94">
        <v>23519.35</v>
      </c>
      <c r="G52" s="76">
        <f t="shared" si="2"/>
        <v>7.2354220912702596E-3</v>
      </c>
    </row>
    <row r="53" spans="2:7" hidden="1" outlineLevel="1" x14ac:dyDescent="0.3">
      <c r="B53" s="100">
        <v>45747</v>
      </c>
      <c r="C53" s="77">
        <v>2203.87</v>
      </c>
      <c r="D53" s="76">
        <f t="shared" si="1"/>
        <v>-6.3302839159388637E-3</v>
      </c>
      <c r="F53" s="94">
        <v>22904.45</v>
      </c>
      <c r="G53" s="76">
        <f t="shared" si="2"/>
        <v>-2.614443001188374E-2</v>
      </c>
    </row>
    <row r="54" spans="2:7" hidden="1" outlineLevel="1" x14ac:dyDescent="0.3">
      <c r="B54" s="100">
        <v>45754</v>
      </c>
      <c r="C54" s="77">
        <v>2323.2600000000002</v>
      </c>
      <c r="D54" s="76">
        <f t="shared" si="1"/>
        <v>5.4172886785518355E-2</v>
      </c>
      <c r="F54" s="94">
        <v>22828.55</v>
      </c>
      <c r="G54" s="76">
        <f t="shared" si="2"/>
        <v>-3.3137665388167561E-3</v>
      </c>
    </row>
    <row r="55" spans="2:7" hidden="1" outlineLevel="1" x14ac:dyDescent="0.3">
      <c r="B55" s="100">
        <v>45761</v>
      </c>
      <c r="C55" s="77">
        <v>2331.9499999999998</v>
      </c>
      <c r="D55" s="76">
        <f t="shared" si="1"/>
        <v>3.7404337009200859E-3</v>
      </c>
      <c r="F55" s="94">
        <v>23851.65</v>
      </c>
      <c r="G55" s="76">
        <f t="shared" si="2"/>
        <v>4.4816687875489342E-2</v>
      </c>
    </row>
    <row r="56" spans="2:7" hidden="1" outlineLevel="1" x14ac:dyDescent="0.3">
      <c r="B56" s="100">
        <v>45768</v>
      </c>
      <c r="C56" s="77">
        <v>2289.9299999999998</v>
      </c>
      <c r="D56" s="76">
        <f t="shared" si="1"/>
        <v>-1.8019254272175642E-2</v>
      </c>
      <c r="F56" s="94">
        <v>24039.35</v>
      </c>
      <c r="G56" s="76">
        <f t="shared" si="2"/>
        <v>7.8694765351662085E-3</v>
      </c>
    </row>
    <row r="57" spans="2:7" hidden="1" outlineLevel="1" x14ac:dyDescent="0.3">
      <c r="B57" s="100">
        <v>45775</v>
      </c>
      <c r="C57" s="77">
        <v>2276.5700000000002</v>
      </c>
      <c r="D57" s="76">
        <f t="shared" si="1"/>
        <v>-5.834239474568949E-3</v>
      </c>
      <c r="F57" s="94">
        <v>24346.7</v>
      </c>
      <c r="G57" s="76">
        <f t="shared" si="2"/>
        <v>1.2785287455775726E-2</v>
      </c>
    </row>
    <row r="58" spans="2:7" hidden="1" outlineLevel="1" x14ac:dyDescent="0.3">
      <c r="B58" s="100">
        <v>45782</v>
      </c>
      <c r="C58" s="77">
        <v>2290.62</v>
      </c>
      <c r="D58" s="76">
        <f t="shared" si="1"/>
        <v>6.1715651176988745E-3</v>
      </c>
      <c r="F58" s="94">
        <v>24008</v>
      </c>
      <c r="G58" s="76">
        <f t="shared" si="2"/>
        <v>-1.3911536265695175E-2</v>
      </c>
    </row>
    <row r="59" spans="2:7" hidden="1" outlineLevel="1" x14ac:dyDescent="0.3">
      <c r="B59" s="100">
        <v>45789</v>
      </c>
      <c r="C59" s="77">
        <v>2338.2399999999998</v>
      </c>
      <c r="D59" s="76">
        <f t="shared" si="1"/>
        <v>2.0789131326889615E-2</v>
      </c>
      <c r="F59" s="94">
        <v>25019.8</v>
      </c>
      <c r="G59" s="76">
        <f t="shared" si="2"/>
        <v>4.2144285238253885E-2</v>
      </c>
    </row>
    <row r="60" spans="2:7" hidden="1" outlineLevel="1" x14ac:dyDescent="0.3">
      <c r="B60" s="100">
        <v>45796</v>
      </c>
      <c r="C60" s="77">
        <v>2316.44</v>
      </c>
      <c r="D60" s="76">
        <f t="shared" si="1"/>
        <v>-9.3232516764744974E-3</v>
      </c>
      <c r="F60" s="94">
        <v>24853.15</v>
      </c>
      <c r="G60" s="76">
        <f t="shared" si="2"/>
        <v>-6.6607247060327347E-3</v>
      </c>
    </row>
    <row r="61" spans="2:7" hidden="1" outlineLevel="1" x14ac:dyDescent="0.3">
      <c r="B61" s="100">
        <v>45803</v>
      </c>
      <c r="C61" s="77">
        <v>2305.7399999999998</v>
      </c>
      <c r="D61" s="76">
        <f t="shared" si="1"/>
        <v>-4.6191569822660082E-3</v>
      </c>
      <c r="F61" s="94">
        <v>24750.7</v>
      </c>
      <c r="G61" s="76">
        <f t="shared" si="2"/>
        <v>-4.1222138843567402E-3</v>
      </c>
    </row>
    <row r="62" spans="2:7" hidden="1" outlineLevel="1" x14ac:dyDescent="0.3">
      <c r="B62" s="100">
        <v>45810</v>
      </c>
      <c r="C62" s="77">
        <v>2346.48</v>
      </c>
      <c r="D62" s="76">
        <f t="shared" si="1"/>
        <v>1.7668947929948841E-2</v>
      </c>
      <c r="F62" s="94">
        <v>25003.05</v>
      </c>
      <c r="G62" s="76">
        <f t="shared" si="2"/>
        <v>1.019567123354081E-2</v>
      </c>
    </row>
    <row r="63" spans="2:7" hidden="1" outlineLevel="1" x14ac:dyDescent="0.3">
      <c r="B63" s="100">
        <v>45817</v>
      </c>
      <c r="C63" s="77">
        <v>2276.9699999999998</v>
      </c>
      <c r="D63" s="76">
        <f t="shared" si="1"/>
        <v>-2.9623095018922053E-2</v>
      </c>
      <c r="F63" s="94">
        <v>24718.6</v>
      </c>
      <c r="G63" s="76">
        <f t="shared" si="2"/>
        <v>-1.1376612053329523E-2</v>
      </c>
    </row>
    <row r="64" spans="2:7" hidden="1" outlineLevel="1" x14ac:dyDescent="0.3">
      <c r="B64" s="100">
        <v>45824</v>
      </c>
      <c r="C64" s="77">
        <v>2264.4</v>
      </c>
      <c r="D64" s="76">
        <f t="shared" si="1"/>
        <v>-5.5204943411637881E-3</v>
      </c>
      <c r="F64" s="94">
        <v>25112.400000000001</v>
      </c>
      <c r="G64" s="76">
        <f t="shared" si="2"/>
        <v>1.5931322971365812E-2</v>
      </c>
    </row>
    <row r="65" spans="2:7" hidden="1" outlineLevel="1" x14ac:dyDescent="0.3">
      <c r="B65" s="100">
        <v>45831</v>
      </c>
      <c r="C65" s="77">
        <v>2265.09</v>
      </c>
      <c r="D65" s="76">
        <f t="shared" si="1"/>
        <v>3.0471648118709349E-4</v>
      </c>
      <c r="F65" s="94">
        <v>25637.8</v>
      </c>
      <c r="G65" s="76">
        <f t="shared" si="2"/>
        <v>2.0921934980328356E-2</v>
      </c>
    </row>
    <row r="66" spans="2:7" hidden="1" outlineLevel="1" x14ac:dyDescent="0.3">
      <c r="B66" s="100">
        <v>45838</v>
      </c>
      <c r="C66" s="77">
        <v>2321.0500000000002</v>
      </c>
      <c r="D66" s="76">
        <f t="shared" si="1"/>
        <v>2.4705420093682828E-2</v>
      </c>
      <c r="F66" s="94">
        <v>25461</v>
      </c>
      <c r="G66" s="76">
        <f t="shared" si="2"/>
        <v>-6.8960675252946538E-3</v>
      </c>
    </row>
    <row r="67" spans="2:7" hidden="1" outlineLevel="1" x14ac:dyDescent="0.3">
      <c r="B67" s="100">
        <v>45845</v>
      </c>
      <c r="C67" s="77">
        <v>2499.9499999999998</v>
      </c>
      <c r="D67" s="76">
        <f t="shared" si="1"/>
        <v>7.7077184894767295E-2</v>
      </c>
      <c r="F67" s="94">
        <v>25149.85</v>
      </c>
      <c r="G67" s="76">
        <f t="shared" si="2"/>
        <v>-1.2220651192019224E-2</v>
      </c>
    </row>
    <row r="68" spans="2:7" hidden="1" outlineLevel="1" x14ac:dyDescent="0.3">
      <c r="B68" s="100">
        <v>45852</v>
      </c>
      <c r="C68" s="77">
        <v>2470.1799999999998</v>
      </c>
      <c r="D68" s="76">
        <f t="shared" si="1"/>
        <v>-1.190823816476329E-2</v>
      </c>
      <c r="F68" s="94">
        <v>24968.400000000001</v>
      </c>
      <c r="G68" s="76">
        <f t="shared" si="2"/>
        <v>-7.2147547599686317E-3</v>
      </c>
    </row>
    <row r="69" spans="2:7" hidden="1" outlineLevel="1" x14ac:dyDescent="0.3">
      <c r="B69" s="100">
        <v>45859</v>
      </c>
      <c r="C69" s="77">
        <v>2396.56</v>
      </c>
      <c r="D69" s="76">
        <f t="shared" si="1"/>
        <v>-2.9803496101498635E-2</v>
      </c>
      <c r="F69" s="94">
        <v>24837</v>
      </c>
      <c r="G69" s="76">
        <f t="shared" si="2"/>
        <v>-5.2626519921180953E-3</v>
      </c>
    </row>
    <row r="70" spans="2:7" hidden="1" outlineLevel="1" x14ac:dyDescent="0.3">
      <c r="B70" s="100">
        <v>45866</v>
      </c>
      <c r="C70" s="77">
        <v>2533.7800000000002</v>
      </c>
      <c r="D70" s="76">
        <f t="shared" si="1"/>
        <v>5.7257068464799651E-2</v>
      </c>
      <c r="F70" s="94">
        <v>24565.35</v>
      </c>
      <c r="G70" s="76">
        <f t="shared" si="2"/>
        <v>-1.0937311269477048E-2</v>
      </c>
    </row>
    <row r="71" spans="2:7" hidden="1" outlineLevel="1" x14ac:dyDescent="0.3">
      <c r="B71" s="100">
        <v>45873</v>
      </c>
      <c r="C71" s="77">
        <v>2479.11</v>
      </c>
      <c r="D71" s="76">
        <f t="shared" si="1"/>
        <v>-2.1576458887511966E-2</v>
      </c>
      <c r="F71" s="94">
        <v>24363.3</v>
      </c>
      <c r="G71" s="76">
        <f t="shared" si="2"/>
        <v>-8.224999847345928E-3</v>
      </c>
    </row>
    <row r="72" spans="2:7" hidden="1" outlineLevel="1" x14ac:dyDescent="0.3">
      <c r="B72" s="100">
        <v>45880</v>
      </c>
      <c r="C72" s="77">
        <v>2461.25</v>
      </c>
      <c r="D72" s="76">
        <f t="shared" si="1"/>
        <v>-7.2041982808347055E-3</v>
      </c>
      <c r="F72" s="94">
        <v>24631.3</v>
      </c>
      <c r="G72" s="76">
        <f t="shared" ref="G72:G103" si="3">(F72-F71)/F71</f>
        <v>1.1000151867768324E-2</v>
      </c>
    </row>
    <row r="73" spans="2:7" hidden="1" outlineLevel="1" x14ac:dyDescent="0.3">
      <c r="B73" s="100">
        <v>45887</v>
      </c>
      <c r="C73" s="77">
        <v>2609.39</v>
      </c>
      <c r="D73" s="76">
        <f t="shared" ref="D73:D112" si="4">(C73-C72)/C72</f>
        <v>6.0188928390045658E-2</v>
      </c>
      <c r="F73" s="94">
        <v>24870.1</v>
      </c>
      <c r="G73" s="76">
        <f t="shared" si="3"/>
        <v>9.6949815884666782E-3</v>
      </c>
    </row>
    <row r="74" spans="2:7" hidden="1" outlineLevel="1" x14ac:dyDescent="0.3">
      <c r="B74" s="100">
        <v>45894</v>
      </c>
      <c r="C74" s="77">
        <v>2639.05</v>
      </c>
      <c r="D74" s="76">
        <f t="shared" si="4"/>
        <v>1.1366641245655234E-2</v>
      </c>
      <c r="F74" s="94">
        <v>24426.85</v>
      </c>
      <c r="G74" s="76">
        <f t="shared" si="3"/>
        <v>-1.7822606262138069E-2</v>
      </c>
    </row>
    <row r="75" spans="2:7" hidden="1" outlineLevel="1" x14ac:dyDescent="0.3">
      <c r="B75" s="100">
        <v>45901</v>
      </c>
      <c r="C75" s="77">
        <v>2612.86</v>
      </c>
      <c r="D75" s="76">
        <f t="shared" si="4"/>
        <v>-9.9240256910630917E-3</v>
      </c>
      <c r="F75" s="94">
        <v>24741</v>
      </c>
      <c r="G75" s="76">
        <f t="shared" si="3"/>
        <v>1.2860847796584557E-2</v>
      </c>
    </row>
    <row r="76" spans="2:7" hidden="1" outlineLevel="1" x14ac:dyDescent="0.3">
      <c r="B76" s="100">
        <v>45908</v>
      </c>
      <c r="C76" s="77">
        <v>2560.37</v>
      </c>
      <c r="D76" s="76">
        <f t="shared" si="4"/>
        <v>-2.0089097770259499E-2</v>
      </c>
      <c r="F76" s="94">
        <v>25114</v>
      </c>
      <c r="G76" s="76">
        <f t="shared" si="3"/>
        <v>1.5076189321369386E-2</v>
      </c>
    </row>
    <row r="77" spans="2:7" hidden="1" outlineLevel="1" x14ac:dyDescent="0.3">
      <c r="B77" s="100">
        <v>45915</v>
      </c>
      <c r="C77" s="77">
        <v>2539.64</v>
      </c>
      <c r="D77" s="76">
        <f t="shared" si="4"/>
        <v>-8.0964860547499077E-3</v>
      </c>
      <c r="F77" s="94">
        <v>25327.05</v>
      </c>
      <c r="G77" s="76">
        <f t="shared" si="3"/>
        <v>8.4833160786811843E-3</v>
      </c>
    </row>
    <row r="78" spans="2:7" hidden="1" outlineLevel="1" x14ac:dyDescent="0.3">
      <c r="B78" s="100">
        <v>45922</v>
      </c>
      <c r="C78" s="77">
        <v>2492.21</v>
      </c>
      <c r="D78" s="76">
        <f t="shared" si="4"/>
        <v>-1.8675875320911563E-2</v>
      </c>
      <c r="F78" s="94">
        <v>24654.7</v>
      </c>
      <c r="G78" s="76">
        <f t="shared" si="3"/>
        <v>-2.6546715863079141E-2</v>
      </c>
    </row>
    <row r="79" spans="2:7" hidden="1" outlineLevel="1" x14ac:dyDescent="0.3">
      <c r="B79" s="100">
        <v>45929</v>
      </c>
      <c r="C79" s="77">
        <v>2525.0500000000002</v>
      </c>
      <c r="D79" s="76">
        <f t="shared" si="4"/>
        <v>1.3177059718081601E-2</v>
      </c>
      <c r="F79" s="94">
        <v>24894.25</v>
      </c>
      <c r="G79" s="76">
        <f t="shared" si="3"/>
        <v>9.7162001565624101E-3</v>
      </c>
    </row>
    <row r="80" spans="2:7" hidden="1" outlineLevel="1" x14ac:dyDescent="0.3">
      <c r="B80" s="100">
        <v>45936</v>
      </c>
      <c r="C80" s="77">
        <v>2509.1799999999998</v>
      </c>
      <c r="D80" s="76">
        <f t="shared" si="4"/>
        <v>-6.2850240589296625E-3</v>
      </c>
      <c r="F80" s="94">
        <v>25285.35</v>
      </c>
      <c r="G80" s="76">
        <f t="shared" si="3"/>
        <v>1.5710455225604249E-2</v>
      </c>
    </row>
    <row r="81" spans="2:7" hidden="1" outlineLevel="1" x14ac:dyDescent="0.3">
      <c r="B81" s="100">
        <v>45943</v>
      </c>
      <c r="C81" s="77">
        <v>2583.39</v>
      </c>
      <c r="D81" s="76">
        <f t="shared" si="4"/>
        <v>2.957539913437858E-2</v>
      </c>
      <c r="F81" s="94">
        <v>25709.85</v>
      </c>
      <c r="G81" s="76">
        <f t="shared" si="3"/>
        <v>1.6788377459675267E-2</v>
      </c>
    </row>
    <row r="82" spans="2:7" hidden="1" outlineLevel="1" x14ac:dyDescent="0.3">
      <c r="B82" s="100">
        <v>45950</v>
      </c>
      <c r="C82" s="77">
        <v>2496.77</v>
      </c>
      <c r="D82" s="76">
        <f t="shared" si="4"/>
        <v>-3.3529587092928241E-2</v>
      </c>
      <c r="F82" s="94">
        <v>25795.15</v>
      </c>
      <c r="G82" s="76">
        <f t="shared" si="3"/>
        <v>3.3177945417807927E-3</v>
      </c>
    </row>
    <row r="83" spans="2:7" hidden="1" outlineLevel="1" x14ac:dyDescent="0.3">
      <c r="B83" s="100">
        <v>45957</v>
      </c>
      <c r="C83" s="77">
        <v>2446.27</v>
      </c>
      <c r="D83" s="76">
        <f t="shared" si="4"/>
        <v>-2.022613216275428E-2</v>
      </c>
      <c r="F83" s="94">
        <v>25722.1</v>
      </c>
      <c r="G83" s="76">
        <f t="shared" si="3"/>
        <v>-2.8319277073404459E-3</v>
      </c>
    </row>
    <row r="84" spans="2:7" hidden="1" outlineLevel="1" x14ac:dyDescent="0.3">
      <c r="B84" s="100">
        <v>45964</v>
      </c>
      <c r="C84" s="77">
        <v>2395.17</v>
      </c>
      <c r="D84" s="76">
        <f t="shared" si="4"/>
        <v>-2.088894521046324E-2</v>
      </c>
      <c r="F84" s="94">
        <v>25492.3</v>
      </c>
      <c r="G84" s="76">
        <f t="shared" si="3"/>
        <v>-8.933951737999591E-3</v>
      </c>
    </row>
    <row r="85" spans="2:7" hidden="1" outlineLevel="1" x14ac:dyDescent="0.3">
      <c r="B85" s="100">
        <v>45971</v>
      </c>
      <c r="C85" s="77">
        <v>2427.6999999999998</v>
      </c>
      <c r="D85" s="76">
        <f t="shared" si="4"/>
        <v>1.3581499434278044E-2</v>
      </c>
      <c r="F85" s="94">
        <v>25910.05</v>
      </c>
      <c r="G85" s="76">
        <f t="shared" si="3"/>
        <v>1.638730126351879E-2</v>
      </c>
    </row>
    <row r="86" spans="2:7" hidden="1" outlineLevel="1" x14ac:dyDescent="0.3">
      <c r="B86" s="100">
        <v>45978</v>
      </c>
      <c r="C86" s="77">
        <v>2433.6999999999998</v>
      </c>
      <c r="D86" s="76">
        <f t="shared" si="4"/>
        <v>2.4714750586975328E-3</v>
      </c>
      <c r="F86" s="94">
        <v>26068.15</v>
      </c>
      <c r="G86" s="76">
        <f t="shared" si="3"/>
        <v>6.1018793865701606E-3</v>
      </c>
    </row>
    <row r="87" spans="2:7" hidden="1" outlineLevel="1" x14ac:dyDescent="0.3">
      <c r="B87" s="100">
        <v>45985</v>
      </c>
      <c r="C87" s="77">
        <v>2466.6</v>
      </c>
      <c r="D87" s="76">
        <f t="shared" si="4"/>
        <v>1.3518510909315074E-2</v>
      </c>
      <c r="F87" s="94">
        <v>26202.95</v>
      </c>
      <c r="G87" s="76">
        <f t="shared" si="3"/>
        <v>5.1710612375638187E-3</v>
      </c>
    </row>
    <row r="88" spans="2:7" hidden="1" outlineLevel="1" x14ac:dyDescent="0.3">
      <c r="B88" s="100">
        <v>45992</v>
      </c>
      <c r="C88" s="77">
        <v>2338.6</v>
      </c>
      <c r="D88" s="76">
        <f t="shared" si="4"/>
        <v>-5.1893294413362524E-2</v>
      </c>
      <c r="F88" s="94">
        <v>26186.45</v>
      </c>
      <c r="G88" s="76">
        <f t="shared" si="3"/>
        <v>-6.2970009102028589E-4</v>
      </c>
    </row>
    <row r="89" spans="2:7" hidden="1" outlineLevel="1" x14ac:dyDescent="0.3">
      <c r="B89" s="100">
        <v>45999</v>
      </c>
      <c r="C89" s="77">
        <v>2260.6</v>
      </c>
      <c r="D89" s="76">
        <f t="shared" si="4"/>
        <v>-3.3353288292140598E-2</v>
      </c>
      <c r="F89" s="94">
        <v>26046.95</v>
      </c>
      <c r="G89" s="76">
        <f t="shared" si="3"/>
        <v>-5.327182569611383E-3</v>
      </c>
    </row>
    <row r="90" spans="2:7" hidden="1" outlineLevel="1" x14ac:dyDescent="0.3">
      <c r="B90" s="100">
        <v>46006</v>
      </c>
      <c r="C90" s="77">
        <v>2280</v>
      </c>
      <c r="D90" s="76">
        <f t="shared" si="4"/>
        <v>8.5817924444838052E-3</v>
      </c>
      <c r="F90" s="94">
        <v>25966.400000000001</v>
      </c>
      <c r="G90" s="76">
        <f t="shared" si="3"/>
        <v>-3.0924925951022774E-3</v>
      </c>
    </row>
    <row r="91" spans="2:7" hidden="1" outlineLevel="1" x14ac:dyDescent="0.3">
      <c r="B91" s="100">
        <v>46013</v>
      </c>
      <c r="C91" s="77">
        <v>2285.4</v>
      </c>
      <c r="D91" s="76">
        <f t="shared" si="4"/>
        <v>2.368421052631619E-3</v>
      </c>
      <c r="F91" s="94">
        <v>26042.3</v>
      </c>
      <c r="G91" s="76">
        <f t="shared" si="3"/>
        <v>2.9230081952060284E-3</v>
      </c>
    </row>
    <row r="92" spans="2:7" hidden="1" outlineLevel="1" x14ac:dyDescent="0.3">
      <c r="B92" s="100">
        <v>46020</v>
      </c>
      <c r="C92" s="77">
        <v>2348</v>
      </c>
      <c r="D92" s="76">
        <f t="shared" si="4"/>
        <v>2.7391266299116087E-2</v>
      </c>
      <c r="F92" s="94">
        <v>26328.55</v>
      </c>
      <c r="G92" s="76">
        <f t="shared" si="3"/>
        <v>1.0991732681061198E-2</v>
      </c>
    </row>
    <row r="93" spans="2:7" hidden="1" outlineLevel="1" x14ac:dyDescent="0.3">
      <c r="B93" s="100">
        <v>46027</v>
      </c>
      <c r="C93" s="77">
        <v>2372.6</v>
      </c>
      <c r="D93" s="76">
        <f t="shared" si="4"/>
        <v>1.0477001703577474E-2</v>
      </c>
      <c r="F93" s="94">
        <v>25683.3</v>
      </c>
      <c r="G93" s="76">
        <f t="shared" si="3"/>
        <v>-2.450761625687704E-2</v>
      </c>
    </row>
    <row r="94" spans="2:7" hidden="1" outlineLevel="1" x14ac:dyDescent="0.3">
      <c r="B94" s="100">
        <v>46034</v>
      </c>
      <c r="C94" s="77">
        <v>2360.4</v>
      </c>
      <c r="D94" s="76">
        <f t="shared" si="4"/>
        <v>-5.1420382702519673E-3</v>
      </c>
      <c r="F94" s="94">
        <v>25694.35</v>
      </c>
      <c r="G94" s="76">
        <f t="shared" si="3"/>
        <v>4.3024066222016925E-4</v>
      </c>
    </row>
    <row r="95" spans="2:7" hidden="1" outlineLevel="1" x14ac:dyDescent="0.3">
      <c r="B95" s="100">
        <v>46041</v>
      </c>
      <c r="C95" s="77">
        <v>2409.5</v>
      </c>
      <c r="D95" s="76">
        <f t="shared" si="4"/>
        <v>2.0801559057786776E-2</v>
      </c>
      <c r="F95" s="94">
        <v>25048.65</v>
      </c>
      <c r="G95" s="76">
        <f t="shared" si="3"/>
        <v>-2.5130038315816401E-2</v>
      </c>
    </row>
    <row r="96" spans="2:7" hidden="1" outlineLevel="1" x14ac:dyDescent="0.3">
      <c r="B96" s="100">
        <v>46048</v>
      </c>
      <c r="C96" s="77">
        <v>2350.6999999999998</v>
      </c>
      <c r="D96" s="76">
        <f t="shared" si="4"/>
        <v>-2.4403403195683827E-2</v>
      </c>
      <c r="F96" s="94">
        <v>24825.45</v>
      </c>
      <c r="G96" s="76">
        <f t="shared" si="3"/>
        <v>-8.9106598559204071E-3</v>
      </c>
    </row>
    <row r="97" spans="2:7" hidden="1" outlineLevel="1" x14ac:dyDescent="0.3">
      <c r="B97" s="100">
        <v>46055</v>
      </c>
      <c r="C97" s="77">
        <v>2424.1999999999998</v>
      </c>
      <c r="D97" s="76">
        <f t="shared" si="4"/>
        <v>3.1267282086187093E-2</v>
      </c>
      <c r="F97" s="94">
        <v>25693.7</v>
      </c>
      <c r="G97" s="76">
        <f t="shared" si="3"/>
        <v>3.4974189793135671E-2</v>
      </c>
    </row>
    <row r="98" spans="2:7" hidden="1" outlineLevel="1" x14ac:dyDescent="0.3">
      <c r="B98" s="100">
        <v>46062</v>
      </c>
      <c r="C98" s="77">
        <v>2305.1999999999998</v>
      </c>
      <c r="D98" s="76">
        <f t="shared" si="4"/>
        <v>-4.9088359046283316E-2</v>
      </c>
      <c r="F98" s="94">
        <v>25471.1</v>
      </c>
      <c r="G98" s="76">
        <f t="shared" si="3"/>
        <v>-8.6636023616685088E-3</v>
      </c>
    </row>
    <row r="99" spans="2:7" hidden="1" outlineLevel="1" x14ac:dyDescent="0.3">
      <c r="B99" s="100">
        <v>46069</v>
      </c>
      <c r="C99" s="77">
        <v>2314.5</v>
      </c>
      <c r="D99" s="76">
        <f t="shared" si="4"/>
        <v>4.0343571056742069E-3</v>
      </c>
      <c r="F99" s="94">
        <v>25571.25</v>
      </c>
      <c r="G99" s="76">
        <f t="shared" si="3"/>
        <v>3.93190714181961E-3</v>
      </c>
    </row>
    <row r="100" spans="2:7" hidden="1" outlineLevel="1" x14ac:dyDescent="0.3">
      <c r="B100" s="100">
        <v>46076</v>
      </c>
      <c r="C100" s="77">
        <v>2338.1</v>
      </c>
      <c r="D100" s="76">
        <f t="shared" si="4"/>
        <v>1.0196586735796029E-2</v>
      </c>
      <c r="F100" s="94">
        <v>25178.65</v>
      </c>
      <c r="G100" s="76">
        <f t="shared" si="3"/>
        <v>-1.5353179840641289E-2</v>
      </c>
    </row>
    <row r="101" spans="2:7" hidden="1" outlineLevel="1" x14ac:dyDescent="0.3">
      <c r="B101" s="100">
        <v>46083</v>
      </c>
      <c r="C101" s="77">
        <v>2225.6999999999998</v>
      </c>
      <c r="D101" s="76">
        <f t="shared" si="4"/>
        <v>-4.8073221846798721E-2</v>
      </c>
      <c r="F101" s="94">
        <v>24450.45</v>
      </c>
      <c r="G101" s="76">
        <f t="shared" si="3"/>
        <v>-2.8921328188763126E-2</v>
      </c>
    </row>
    <row r="102" spans="2:7" hidden="1" outlineLevel="1" x14ac:dyDescent="0.3">
      <c r="B102" s="100">
        <v>46090</v>
      </c>
      <c r="C102" s="77">
        <v>2160</v>
      </c>
      <c r="D102" s="76">
        <f t="shared" si="4"/>
        <v>-2.9518803073190377E-2</v>
      </c>
      <c r="F102" s="94">
        <v>23151.1</v>
      </c>
      <c r="G102" s="76">
        <f t="shared" si="3"/>
        <v>-5.3142171207482977E-2</v>
      </c>
    </row>
    <row r="103" spans="2:7" hidden="1" outlineLevel="1" x14ac:dyDescent="0.3">
      <c r="B103" s="100">
        <v>46097</v>
      </c>
      <c r="C103" s="77">
        <v>2082.6999999999998</v>
      </c>
      <c r="D103" s="76">
        <f t="shared" si="4"/>
        <v>-3.5787037037037124E-2</v>
      </c>
      <c r="F103" s="94">
        <v>23114.5</v>
      </c>
      <c r="G103" s="76">
        <f t="shared" si="3"/>
        <v>-1.5809184012854052E-3</v>
      </c>
    </row>
    <row r="104" spans="2:7" hidden="1" outlineLevel="1" x14ac:dyDescent="0.3">
      <c r="B104" s="100">
        <v>46104</v>
      </c>
      <c r="C104" s="77">
        <v>2074.4</v>
      </c>
      <c r="D104" s="76">
        <f t="shared" si="4"/>
        <v>-3.9852115042971759E-3</v>
      </c>
      <c r="F104" s="94">
        <v>22819.599999999999</v>
      </c>
      <c r="G104" s="76">
        <f t="shared" ref="G104:G112" si="5">(F104-F103)/F103</f>
        <v>-1.2758225356378093E-2</v>
      </c>
    </row>
    <row r="105" spans="2:7" hidden="1" outlineLevel="1" x14ac:dyDescent="0.3">
      <c r="B105" s="100">
        <v>46111</v>
      </c>
      <c r="C105" s="77">
        <v>2065.3000000000002</v>
      </c>
      <c r="D105" s="76">
        <f t="shared" si="4"/>
        <v>-4.3868106440416062E-3</v>
      </c>
      <c r="F105" s="94">
        <v>22713.1</v>
      </c>
      <c r="G105" s="76">
        <f t="shared" si="5"/>
        <v>-4.6670406142088382E-3</v>
      </c>
    </row>
    <row r="106" spans="2:7" hidden="1" outlineLevel="1" x14ac:dyDescent="0.3">
      <c r="B106" s="100">
        <v>46118</v>
      </c>
      <c r="C106" s="77">
        <v>2155.3000000000002</v>
      </c>
      <c r="D106" s="76">
        <f t="shared" si="4"/>
        <v>4.3577204280249839E-2</v>
      </c>
      <c r="F106" s="94">
        <v>24050.6</v>
      </c>
      <c r="G106" s="76">
        <f t="shared" si="5"/>
        <v>5.8886721759689349E-2</v>
      </c>
    </row>
    <row r="107" spans="2:7" hidden="1" outlineLevel="1" x14ac:dyDescent="0.3">
      <c r="B107" s="100">
        <v>46125</v>
      </c>
      <c r="C107" s="77">
        <v>2240.8000000000002</v>
      </c>
      <c r="D107" s="76">
        <f t="shared" si="4"/>
        <v>3.9669651556627841E-2</v>
      </c>
      <c r="F107" s="94">
        <v>24353.55</v>
      </c>
      <c r="G107" s="76">
        <f t="shared" si="5"/>
        <v>1.2596359342386499E-2</v>
      </c>
    </row>
    <row r="108" spans="2:7" hidden="1" outlineLevel="1" x14ac:dyDescent="0.3">
      <c r="B108" s="100">
        <v>46132</v>
      </c>
      <c r="C108" s="77">
        <v>2327.3000000000002</v>
      </c>
      <c r="D108" s="76">
        <f t="shared" si="4"/>
        <v>3.860228489825062E-2</v>
      </c>
      <c r="F108" s="94">
        <v>23897.95</v>
      </c>
      <c r="G108" s="76">
        <f t="shared" si="5"/>
        <v>-1.8707744866764745E-2</v>
      </c>
    </row>
    <row r="109" spans="2:7" hidden="1" outlineLevel="1" x14ac:dyDescent="0.3">
      <c r="B109" s="100">
        <v>46139</v>
      </c>
      <c r="C109" s="77">
        <v>2250.9</v>
      </c>
      <c r="D109" s="76">
        <f t="shared" si="4"/>
        <v>-3.2827740299918397E-2</v>
      </c>
      <c r="F109" s="94">
        <v>23997.55</v>
      </c>
      <c r="G109" s="76">
        <f t="shared" si="5"/>
        <v>4.1677214991243409E-3</v>
      </c>
    </row>
    <row r="110" spans="2:7" hidden="1" outlineLevel="1" x14ac:dyDescent="0.3">
      <c r="B110" s="100">
        <v>46146</v>
      </c>
      <c r="C110" s="77">
        <v>2287.6999999999998</v>
      </c>
      <c r="D110" s="76">
        <f t="shared" si="4"/>
        <v>1.6349015949175764E-2</v>
      </c>
      <c r="F110" s="94">
        <v>24176.15</v>
      </c>
      <c r="G110" s="76">
        <f t="shared" si="5"/>
        <v>7.4424264143632237E-3</v>
      </c>
    </row>
    <row r="111" spans="2:7" hidden="1" outlineLevel="1" x14ac:dyDescent="0.3">
      <c r="B111" s="100">
        <v>46153</v>
      </c>
      <c r="C111" s="77">
        <v>2262</v>
      </c>
      <c r="D111" s="76">
        <f t="shared" si="4"/>
        <v>-1.1233990470778433E-2</v>
      </c>
      <c r="F111" s="94">
        <v>23379.55</v>
      </c>
      <c r="G111" s="76">
        <f t="shared" si="5"/>
        <v>-3.2949828653445735E-2</v>
      </c>
    </row>
    <row r="112" spans="2:7" hidden="1" outlineLevel="1" x14ac:dyDescent="0.3">
      <c r="B112" s="100">
        <v>46155</v>
      </c>
      <c r="C112" s="77">
        <v>2270.6</v>
      </c>
      <c r="D112" s="76">
        <f t="shared" si="4"/>
        <v>3.801945181255486E-3</v>
      </c>
      <c r="F112" s="94">
        <v>23472.799999999999</v>
      </c>
      <c r="G112" s="76">
        <f t="shared" si="5"/>
        <v>3.9885284361760595E-3</v>
      </c>
    </row>
    <row r="113" spans="2:21" hidden="1" outlineLevel="1" x14ac:dyDescent="0.3"/>
    <row r="114" spans="2:21" collapsed="1" x14ac:dyDescent="0.3"/>
    <row r="116" spans="2:21" x14ac:dyDescent="0.3">
      <c r="B116" s="199" t="s">
        <v>325</v>
      </c>
      <c r="C116" s="199"/>
      <c r="D116" s="199"/>
      <c r="F116" s="199" t="s">
        <v>253</v>
      </c>
      <c r="G116" s="199"/>
      <c r="I116" s="199" t="s">
        <v>252</v>
      </c>
      <c r="J116" s="199"/>
    </row>
    <row r="117" spans="2:21" hidden="1" outlineLevel="1" x14ac:dyDescent="0.3">
      <c r="B117" s="76"/>
      <c r="C117" s="76"/>
      <c r="D117" s="76"/>
      <c r="E117" s="76"/>
      <c r="F117" s="76"/>
      <c r="G117" s="76"/>
    </row>
    <row r="118" spans="2:21" hidden="1" outlineLevel="1" x14ac:dyDescent="0.3">
      <c r="B118" s="67" t="s">
        <v>251</v>
      </c>
      <c r="C118" s="98" t="s">
        <v>250</v>
      </c>
      <c r="D118" s="67" t="s">
        <v>249</v>
      </c>
      <c r="E118" s="76"/>
      <c r="F118" s="98" t="s">
        <v>250</v>
      </c>
      <c r="G118" s="67" t="s">
        <v>249</v>
      </c>
      <c r="I118" s="59" t="s">
        <v>248</v>
      </c>
      <c r="J118" s="77">
        <f>M119</f>
        <v>0.76042742377539818</v>
      </c>
      <c r="L118" s="145" t="s">
        <v>434</v>
      </c>
      <c r="M118" s="77">
        <f>SLOPE(D119:D224,G119:G224)</f>
        <v>0.76042742377539851</v>
      </c>
    </row>
    <row r="119" spans="2:21" hidden="1" outlineLevel="1" x14ac:dyDescent="0.3">
      <c r="B119" s="99">
        <v>45425</v>
      </c>
      <c r="C119" s="94">
        <v>1227.05</v>
      </c>
      <c r="D119" s="97" t="s">
        <v>59</v>
      </c>
      <c r="F119" s="94">
        <v>22466.1</v>
      </c>
      <c r="G119" s="97" t="s">
        <v>59</v>
      </c>
      <c r="H119" s="61"/>
      <c r="I119" s="59" t="s">
        <v>246</v>
      </c>
      <c r="J119" s="60">
        <v>0.75</v>
      </c>
      <c r="L119" s="145" t="s">
        <v>245</v>
      </c>
      <c r="M119" s="77">
        <f>_xlfn.COVARIANCE.S(D120:D224,G120:G224)/_xlfn.VAR.S(G120:G224)</f>
        <v>0.76042742377539818</v>
      </c>
    </row>
    <row r="120" spans="2:21" hidden="1" outlineLevel="1" x14ac:dyDescent="0.3">
      <c r="B120" s="99">
        <v>45432</v>
      </c>
      <c r="C120" s="94">
        <v>1209.0899999999999</v>
      </c>
      <c r="D120" s="76">
        <f t="shared" ref="D120:D183" si="6">(C120-C119)/C119</f>
        <v>-1.4636730369585621E-2</v>
      </c>
      <c r="F120" s="94">
        <v>22957.1</v>
      </c>
      <c r="G120" s="76">
        <f t="shared" ref="G120:G183" si="7">(F120-F119)/F119</f>
        <v>2.1855150649200353E-2</v>
      </c>
      <c r="H120" s="61"/>
      <c r="I120" s="59" t="s">
        <v>244</v>
      </c>
      <c r="J120" s="59">
        <v>1</v>
      </c>
      <c r="L120" s="145" t="s">
        <v>254</v>
      </c>
      <c r="M120" t="s">
        <v>243</v>
      </c>
      <c r="N120"/>
      <c r="O120"/>
      <c r="P120"/>
      <c r="Q120"/>
      <c r="R120"/>
      <c r="S120"/>
      <c r="T120"/>
      <c r="U120"/>
    </row>
    <row r="121" spans="2:21" ht="15" hidden="1" outlineLevel="1" thickBot="1" x14ac:dyDescent="0.35">
      <c r="B121" s="99">
        <v>45439</v>
      </c>
      <c r="C121" s="94">
        <v>1153.8</v>
      </c>
      <c r="D121" s="76">
        <f t="shared" si="6"/>
        <v>-4.5728605810981787E-2</v>
      </c>
      <c r="F121" s="94">
        <v>22530.7</v>
      </c>
      <c r="G121" s="76">
        <f t="shared" si="7"/>
        <v>-1.8573774562117944E-2</v>
      </c>
      <c r="H121" s="61"/>
      <c r="I121" s="59" t="s">
        <v>242</v>
      </c>
      <c r="J121" s="60">
        <v>0.25</v>
      </c>
      <c r="M121"/>
      <c r="N121"/>
      <c r="O121"/>
      <c r="P121"/>
      <c r="Q121"/>
      <c r="R121"/>
      <c r="S121"/>
      <c r="T121"/>
      <c r="U121"/>
    </row>
    <row r="122" spans="2:21" hidden="1" outlineLevel="1" x14ac:dyDescent="0.3">
      <c r="B122" s="99">
        <v>45446</v>
      </c>
      <c r="C122" s="94">
        <v>1226.0899999999999</v>
      </c>
      <c r="D122" s="76">
        <f t="shared" si="6"/>
        <v>6.2653839486912777E-2</v>
      </c>
      <c r="F122" s="94">
        <v>23290.15</v>
      </c>
      <c r="G122" s="76">
        <f t="shared" si="7"/>
        <v>3.3707341538434257E-2</v>
      </c>
      <c r="H122" s="61"/>
      <c r="I122" s="96" t="s">
        <v>241</v>
      </c>
      <c r="J122" s="95">
        <f>(J118*J119)+(J120*J121)</f>
        <v>0.82032056783154861</v>
      </c>
      <c r="M122" s="143" t="s">
        <v>240</v>
      </c>
      <c r="N122" s="143"/>
      <c r="O122"/>
      <c r="P122"/>
      <c r="Q122"/>
      <c r="R122"/>
      <c r="S122"/>
      <c r="T122"/>
      <c r="U122"/>
    </row>
    <row r="123" spans="2:21" hidden="1" outlineLevel="1" x14ac:dyDescent="0.3">
      <c r="B123" s="99">
        <v>45453</v>
      </c>
      <c r="C123" s="94">
        <v>1245.71</v>
      </c>
      <c r="D123" s="76">
        <f t="shared" si="6"/>
        <v>1.6002087938079685E-2</v>
      </c>
      <c r="F123" s="94">
        <v>23465.599999999999</v>
      </c>
      <c r="G123" s="76">
        <f t="shared" si="7"/>
        <v>7.5332275661598178E-3</v>
      </c>
      <c r="H123" s="61"/>
      <c r="M123" t="s">
        <v>239</v>
      </c>
      <c r="N123">
        <v>0.49497234860571832</v>
      </c>
      <c r="O123"/>
      <c r="P123"/>
      <c r="Q123"/>
      <c r="R123"/>
      <c r="S123"/>
      <c r="T123"/>
      <c r="U123"/>
    </row>
    <row r="124" spans="2:21" hidden="1" outlineLevel="1" x14ac:dyDescent="0.3">
      <c r="B124" s="99">
        <v>45460</v>
      </c>
      <c r="C124" s="94">
        <v>1224.1099999999999</v>
      </c>
      <c r="D124" s="76">
        <f t="shared" si="6"/>
        <v>-1.733950919555927E-2</v>
      </c>
      <c r="F124" s="94">
        <v>23501.1</v>
      </c>
      <c r="G124" s="76">
        <f t="shared" si="7"/>
        <v>1.5128528569480432E-3</v>
      </c>
      <c r="H124" s="61"/>
      <c r="M124" t="s">
        <v>238</v>
      </c>
      <c r="N124">
        <v>0.24499762588426072</v>
      </c>
      <c r="O124"/>
      <c r="P124"/>
      <c r="Q124"/>
      <c r="R124"/>
      <c r="S124"/>
      <c r="T124"/>
      <c r="U124"/>
    </row>
    <row r="125" spans="2:21" hidden="1" outlineLevel="1" x14ac:dyDescent="0.3">
      <c r="B125" s="99">
        <v>45467</v>
      </c>
      <c r="C125" s="94">
        <v>1250.2</v>
      </c>
      <c r="D125" s="76">
        <f t="shared" si="6"/>
        <v>2.1313444053230633E-2</v>
      </c>
      <c r="F125" s="94">
        <v>24010.6</v>
      </c>
      <c r="G125" s="76">
        <f t="shared" si="7"/>
        <v>2.1679836262983435E-2</v>
      </c>
      <c r="H125" s="61"/>
      <c r="M125" t="s">
        <v>237</v>
      </c>
      <c r="N125">
        <v>0.23766750574721471</v>
      </c>
      <c r="O125"/>
      <c r="P125"/>
      <c r="Q125"/>
      <c r="R125"/>
      <c r="S125"/>
      <c r="T125"/>
      <c r="U125"/>
    </row>
    <row r="126" spans="2:21" hidden="1" outlineLevel="1" x14ac:dyDescent="0.3">
      <c r="B126" s="99">
        <v>45474</v>
      </c>
      <c r="C126" s="94">
        <v>1261.22</v>
      </c>
      <c r="D126" s="76">
        <f t="shared" si="6"/>
        <v>8.8145896656534814E-3</v>
      </c>
      <c r="F126" s="94">
        <v>24323.85</v>
      </c>
      <c r="G126" s="76">
        <f t="shared" si="7"/>
        <v>1.3046321208133075E-2</v>
      </c>
      <c r="H126" s="61"/>
      <c r="M126" t="s">
        <v>226</v>
      </c>
      <c r="N126">
        <v>2.5451548348180947E-2</v>
      </c>
      <c r="O126"/>
      <c r="P126"/>
      <c r="Q126"/>
      <c r="R126"/>
      <c r="S126"/>
      <c r="T126"/>
      <c r="U126"/>
    </row>
    <row r="127" spans="2:21" ht="15" hidden="1" outlineLevel="1" thickBot="1" x14ac:dyDescent="0.35">
      <c r="B127" s="99">
        <v>45481</v>
      </c>
      <c r="C127" s="94">
        <v>1278.3</v>
      </c>
      <c r="D127" s="76">
        <f t="shared" si="6"/>
        <v>1.354244303135054E-2</v>
      </c>
      <c r="F127" s="94">
        <v>24502.15</v>
      </c>
      <c r="G127" s="76">
        <f t="shared" si="7"/>
        <v>7.3302540510652272E-3</v>
      </c>
      <c r="H127" s="61"/>
      <c r="M127" s="141" t="s">
        <v>236</v>
      </c>
      <c r="N127" s="141">
        <v>105</v>
      </c>
      <c r="O127"/>
      <c r="P127"/>
      <c r="Q127"/>
      <c r="R127"/>
      <c r="S127"/>
      <c r="T127"/>
      <c r="U127"/>
    </row>
    <row r="128" spans="2:21" hidden="1" outlineLevel="1" x14ac:dyDescent="0.3">
      <c r="B128" s="99">
        <v>45488</v>
      </c>
      <c r="C128" s="94">
        <v>1272.83</v>
      </c>
      <c r="D128" s="76">
        <f t="shared" si="6"/>
        <v>-4.2791207071892568E-3</v>
      </c>
      <c r="F128" s="94">
        <v>24530.9</v>
      </c>
      <c r="G128" s="76">
        <f t="shared" si="7"/>
        <v>1.1733664188652831E-3</v>
      </c>
      <c r="H128" s="61"/>
      <c r="M128"/>
      <c r="N128"/>
      <c r="O128"/>
      <c r="P128"/>
      <c r="Q128"/>
      <c r="R128"/>
      <c r="S128"/>
      <c r="T128"/>
      <c r="U128"/>
    </row>
    <row r="129" spans="2:21" ht="15" hidden="1" outlineLevel="1" thickBot="1" x14ac:dyDescent="0.35">
      <c r="B129" s="99">
        <v>45495</v>
      </c>
      <c r="C129" s="94">
        <v>1218.8399999999999</v>
      </c>
      <c r="D129" s="76">
        <f t="shared" si="6"/>
        <v>-4.2417290604401227E-2</v>
      </c>
      <c r="F129" s="94">
        <v>24834.85</v>
      </c>
      <c r="G129" s="76">
        <f t="shared" si="7"/>
        <v>1.2390495252925782E-2</v>
      </c>
      <c r="H129" s="61"/>
      <c r="M129" t="s">
        <v>235</v>
      </c>
      <c r="N129"/>
      <c r="O129"/>
      <c r="P129"/>
      <c r="Q129"/>
      <c r="R129"/>
      <c r="S129"/>
      <c r="T129"/>
      <c r="U129"/>
    </row>
    <row r="130" spans="2:21" hidden="1" outlineLevel="1" x14ac:dyDescent="0.3">
      <c r="B130" s="99">
        <v>45502</v>
      </c>
      <c r="C130" s="94">
        <v>1227.79</v>
      </c>
      <c r="D130" s="76">
        <f t="shared" si="6"/>
        <v>7.3430474877752994E-3</v>
      </c>
      <c r="F130" s="94">
        <v>24717.7</v>
      </c>
      <c r="G130" s="76">
        <f t="shared" si="7"/>
        <v>-4.7171615693268861E-3</v>
      </c>
      <c r="H130" s="61"/>
      <c r="M130" s="142"/>
      <c r="N130" s="142" t="s">
        <v>234</v>
      </c>
      <c r="O130" s="142" t="s">
        <v>233</v>
      </c>
      <c r="P130" s="142" t="s">
        <v>232</v>
      </c>
      <c r="Q130" s="142" t="s">
        <v>231</v>
      </c>
      <c r="R130" s="142" t="s">
        <v>230</v>
      </c>
      <c r="S130"/>
      <c r="T130"/>
      <c r="U130"/>
    </row>
    <row r="131" spans="2:21" hidden="1" outlineLevel="1" x14ac:dyDescent="0.3">
      <c r="B131" s="99">
        <v>45509</v>
      </c>
      <c r="C131" s="94">
        <v>1232.52</v>
      </c>
      <c r="D131" s="76">
        <f t="shared" si="6"/>
        <v>3.8524503375984643E-3</v>
      </c>
      <c r="F131" s="94">
        <v>24367.5</v>
      </c>
      <c r="G131" s="76">
        <f t="shared" si="7"/>
        <v>-1.416798488532512E-2</v>
      </c>
      <c r="H131" s="61"/>
      <c r="M131" t="s">
        <v>229</v>
      </c>
      <c r="N131">
        <v>1</v>
      </c>
      <c r="O131">
        <v>2.1651061768203778E-2</v>
      </c>
      <c r="P131">
        <v>2.1651061768203778E-2</v>
      </c>
      <c r="Q131">
        <v>33.423412072887672</v>
      </c>
      <c r="R131">
        <v>7.9852041004760996E-8</v>
      </c>
      <c r="S131"/>
      <c r="T131"/>
      <c r="U131"/>
    </row>
    <row r="132" spans="2:21" hidden="1" outlineLevel="1" x14ac:dyDescent="0.3">
      <c r="B132" s="99">
        <v>45516</v>
      </c>
      <c r="C132" s="94">
        <v>1242.73</v>
      </c>
      <c r="D132" s="76">
        <f t="shared" si="6"/>
        <v>8.2838412358420439E-3</v>
      </c>
      <c r="F132" s="94">
        <v>24541.15</v>
      </c>
      <c r="G132" s="76">
        <f t="shared" si="7"/>
        <v>7.1262952703396512E-3</v>
      </c>
      <c r="H132" s="61"/>
      <c r="M132" t="s">
        <v>228</v>
      </c>
      <c r="N132">
        <v>103</v>
      </c>
      <c r="O132">
        <v>6.6721475271938613E-2</v>
      </c>
      <c r="P132">
        <v>6.4778131331979236E-4</v>
      </c>
      <c r="Q132"/>
      <c r="R132"/>
      <c r="S132"/>
      <c r="T132"/>
      <c r="U132"/>
    </row>
    <row r="133" spans="2:21" ht="15" hidden="1" outlineLevel="1" thickBot="1" x14ac:dyDescent="0.35">
      <c r="B133" s="99">
        <v>45523</v>
      </c>
      <c r="C133" s="94">
        <v>1244.57</v>
      </c>
      <c r="D133" s="76">
        <f t="shared" si="6"/>
        <v>1.4806112349423594E-3</v>
      </c>
      <c r="F133" s="94">
        <v>24823.15</v>
      </c>
      <c r="G133" s="76">
        <f t="shared" si="7"/>
        <v>1.1490904052988551E-2</v>
      </c>
      <c r="H133" s="61"/>
      <c r="M133" s="141" t="s">
        <v>13</v>
      </c>
      <c r="N133" s="141">
        <v>104</v>
      </c>
      <c r="O133" s="141">
        <v>8.837253704014239E-2</v>
      </c>
      <c r="P133" s="141"/>
      <c r="Q133" s="141"/>
      <c r="R133" s="141"/>
      <c r="S133"/>
      <c r="T133"/>
      <c r="U133"/>
    </row>
    <row r="134" spans="2:21" ht="15" hidden="1" outlineLevel="1" thickBot="1" x14ac:dyDescent="0.35">
      <c r="B134" s="99">
        <v>45530</v>
      </c>
      <c r="C134" s="94">
        <v>1230.57</v>
      </c>
      <c r="D134" s="76">
        <f t="shared" si="6"/>
        <v>-1.1248865069863487E-2</v>
      </c>
      <c r="F134" s="94">
        <v>25235.9</v>
      </c>
      <c r="G134" s="76">
        <f t="shared" si="7"/>
        <v>1.6627623810837867E-2</v>
      </c>
      <c r="H134" s="61"/>
      <c r="M134"/>
      <c r="N134"/>
      <c r="O134"/>
      <c r="P134"/>
      <c r="Q134"/>
      <c r="R134"/>
      <c r="S134"/>
      <c r="T134"/>
      <c r="U134"/>
    </row>
    <row r="135" spans="2:21" hidden="1" outlineLevel="1" x14ac:dyDescent="0.3">
      <c r="B135" s="99">
        <v>45537</v>
      </c>
      <c r="C135" s="94">
        <v>1231.78</v>
      </c>
      <c r="D135" s="76">
        <f t="shared" si="6"/>
        <v>9.8328416912490664E-4</v>
      </c>
      <c r="F135" s="94">
        <v>24852.15</v>
      </c>
      <c r="G135" s="76">
        <f t="shared" si="7"/>
        <v>-1.5206511358818191E-2</v>
      </c>
      <c r="H135" s="61"/>
      <c r="M135" s="142"/>
      <c r="N135" s="142" t="s">
        <v>227</v>
      </c>
      <c r="O135" s="142" t="s">
        <v>226</v>
      </c>
      <c r="P135" s="142" t="s">
        <v>225</v>
      </c>
      <c r="Q135" s="142" t="s">
        <v>224</v>
      </c>
      <c r="R135" s="142" t="s">
        <v>223</v>
      </c>
      <c r="S135" s="142" t="s">
        <v>222</v>
      </c>
      <c r="T135" s="142" t="s">
        <v>221</v>
      </c>
      <c r="U135" s="142" t="s">
        <v>220</v>
      </c>
    </row>
    <row r="136" spans="2:21" hidden="1" outlineLevel="1" x14ac:dyDescent="0.3">
      <c r="B136" s="99">
        <v>45544</v>
      </c>
      <c r="C136" s="94">
        <v>1245.6500000000001</v>
      </c>
      <c r="D136" s="76">
        <f t="shared" si="6"/>
        <v>1.1260127620192014E-2</v>
      </c>
      <c r="F136" s="94">
        <v>25356.5</v>
      </c>
      <c r="G136" s="76">
        <f t="shared" si="7"/>
        <v>2.029401882734486E-2</v>
      </c>
      <c r="H136" s="61"/>
      <c r="M136" t="s">
        <v>219</v>
      </c>
      <c r="N136">
        <v>1.6791483639430811E-3</v>
      </c>
      <c r="O136">
        <v>2.4850533871993092E-3</v>
      </c>
      <c r="P136">
        <v>0.67569911076860423</v>
      </c>
      <c r="Q136">
        <v>0.50074596244155778</v>
      </c>
      <c r="R136">
        <v>-3.2493689167371483E-3</v>
      </c>
      <c r="S136">
        <v>6.60766564462331E-3</v>
      </c>
      <c r="T136">
        <v>-3.2493689167371483E-3</v>
      </c>
      <c r="U136">
        <v>6.60766564462331E-3</v>
      </c>
    </row>
    <row r="137" spans="2:21" ht="15" hidden="1" outlineLevel="1" thickBot="1" x14ac:dyDescent="0.35">
      <c r="B137" s="99">
        <v>45551</v>
      </c>
      <c r="C137" s="94">
        <v>1328.4</v>
      </c>
      <c r="D137" s="76">
        <f t="shared" si="6"/>
        <v>6.6431180508168416E-2</v>
      </c>
      <c r="F137" s="94">
        <v>25790.95</v>
      </c>
      <c r="G137" s="76">
        <f t="shared" si="7"/>
        <v>1.7133673811448771E-2</v>
      </c>
      <c r="H137" s="61"/>
      <c r="M137" s="141" t="s">
        <v>218</v>
      </c>
      <c r="N137" s="141">
        <v>0.76042742377539829</v>
      </c>
      <c r="O137" s="141">
        <v>0.13153228930894956</v>
      </c>
      <c r="P137" s="141">
        <v>5.7812984763708375</v>
      </c>
      <c r="Q137" s="141">
        <v>7.9852041004757912E-8</v>
      </c>
      <c r="R137" s="141">
        <v>0.49956415050898906</v>
      </c>
      <c r="S137" s="141">
        <v>1.0212906970418074</v>
      </c>
      <c r="T137" s="141">
        <v>0.49956415050898906</v>
      </c>
      <c r="U137" s="141">
        <v>1.0212906970418074</v>
      </c>
    </row>
    <row r="138" spans="2:21" hidden="1" outlineLevel="1" x14ac:dyDescent="0.3">
      <c r="B138" s="99">
        <v>45558</v>
      </c>
      <c r="C138" s="94">
        <v>1351.11</v>
      </c>
      <c r="D138" s="76">
        <f t="shared" si="6"/>
        <v>1.7095754290876099E-2</v>
      </c>
      <c r="F138" s="94">
        <v>26178.95</v>
      </c>
      <c r="G138" s="76">
        <f t="shared" si="7"/>
        <v>1.5044036764834175E-2</v>
      </c>
      <c r="H138" s="61"/>
      <c r="M138"/>
      <c r="N138"/>
      <c r="O138"/>
      <c r="P138"/>
      <c r="Q138"/>
      <c r="R138"/>
      <c r="S138"/>
      <c r="T138"/>
      <c r="U138"/>
    </row>
    <row r="139" spans="2:21" hidden="1" outlineLevel="1" x14ac:dyDescent="0.3">
      <c r="B139" s="99">
        <v>45565</v>
      </c>
      <c r="C139" s="94">
        <v>1278.5</v>
      </c>
      <c r="D139" s="76">
        <f t="shared" si="6"/>
        <v>-5.374099814226814E-2</v>
      </c>
      <c r="F139" s="94">
        <v>25014.6</v>
      </c>
      <c r="G139" s="76">
        <f t="shared" si="7"/>
        <v>-4.4476573735768708E-2</v>
      </c>
      <c r="H139" s="61"/>
      <c r="M139"/>
      <c r="N139"/>
      <c r="O139"/>
      <c r="P139"/>
      <c r="Q139"/>
      <c r="R139"/>
      <c r="S139"/>
      <c r="T139"/>
      <c r="U139"/>
    </row>
    <row r="140" spans="2:21" hidden="1" outlineLevel="1" x14ac:dyDescent="0.3">
      <c r="B140" s="99">
        <v>45572</v>
      </c>
      <c r="C140" s="94">
        <v>1236.01</v>
      </c>
      <c r="D140" s="76">
        <f t="shared" si="6"/>
        <v>-3.3234258897145097E-2</v>
      </c>
      <c r="F140" s="94">
        <v>24964.25</v>
      </c>
      <c r="G140" s="76">
        <f t="shared" si="7"/>
        <v>-2.012824510485818E-3</v>
      </c>
      <c r="H140" s="61"/>
      <c r="M140"/>
      <c r="N140"/>
      <c r="O140"/>
      <c r="P140"/>
      <c r="Q140"/>
      <c r="R140"/>
      <c r="S140"/>
      <c r="T140"/>
      <c r="U140"/>
    </row>
    <row r="141" spans="2:21" hidden="1" outlineLevel="1" x14ac:dyDescent="0.3">
      <c r="B141" s="99">
        <v>45579</v>
      </c>
      <c r="C141" s="94">
        <v>1156.51</v>
      </c>
      <c r="D141" s="76">
        <f t="shared" si="6"/>
        <v>-6.431986796223331E-2</v>
      </c>
      <c r="F141" s="94">
        <v>24854.05</v>
      </c>
      <c r="G141" s="76">
        <f t="shared" si="7"/>
        <v>-4.4143124668275923E-3</v>
      </c>
      <c r="H141" s="61"/>
    </row>
    <row r="142" spans="2:21" hidden="1" outlineLevel="1" x14ac:dyDescent="0.3">
      <c r="B142" s="99">
        <v>45586</v>
      </c>
      <c r="C142" s="94">
        <v>1112.45</v>
      </c>
      <c r="D142" s="76">
        <f t="shared" si="6"/>
        <v>-3.8097379183924002E-2</v>
      </c>
      <c r="F142" s="94">
        <v>24180.799999999999</v>
      </c>
      <c r="G142" s="76">
        <f t="shared" si="7"/>
        <v>-2.7088140564616229E-2</v>
      </c>
      <c r="H142" s="61"/>
    </row>
    <row r="143" spans="2:21" hidden="1" outlineLevel="1" x14ac:dyDescent="0.3">
      <c r="B143" s="99">
        <v>45593</v>
      </c>
      <c r="C143" s="94">
        <v>1123.08</v>
      </c>
      <c r="D143" s="76">
        <f t="shared" si="6"/>
        <v>9.5554856398039293E-3</v>
      </c>
      <c r="F143" s="94">
        <v>24304.35</v>
      </c>
      <c r="G143" s="76">
        <f t="shared" si="7"/>
        <v>5.1094256600277606E-3</v>
      </c>
      <c r="H143" s="61"/>
    </row>
    <row r="144" spans="2:21" hidden="1" outlineLevel="1" x14ac:dyDescent="0.3">
      <c r="B144" s="99">
        <v>45600</v>
      </c>
      <c r="C144" s="94">
        <v>1129.6500000000001</v>
      </c>
      <c r="D144" s="76">
        <f t="shared" si="6"/>
        <v>5.849983972646796E-3</v>
      </c>
      <c r="F144" s="94">
        <v>24148.2</v>
      </c>
      <c r="G144" s="76">
        <f t="shared" si="7"/>
        <v>-6.424775811737316E-3</v>
      </c>
      <c r="H144" s="61"/>
    </row>
    <row r="145" spans="2:8" hidden="1" outlineLevel="1" x14ac:dyDescent="0.3">
      <c r="B145" s="99">
        <v>45607</v>
      </c>
      <c r="C145" s="94">
        <v>1074.1199999999999</v>
      </c>
      <c r="D145" s="76">
        <f t="shared" si="6"/>
        <v>-4.9156818483601289E-2</v>
      </c>
      <c r="F145" s="94">
        <v>23532.7</v>
      </c>
      <c r="G145" s="76">
        <f t="shared" si="7"/>
        <v>-2.5488442202731467E-2</v>
      </c>
      <c r="H145" s="61"/>
    </row>
    <row r="146" spans="2:8" hidden="1" outlineLevel="1" x14ac:dyDescent="0.3">
      <c r="B146" s="99">
        <v>45614</v>
      </c>
      <c r="C146" s="94">
        <v>1105.8499999999999</v>
      </c>
      <c r="D146" s="76">
        <f t="shared" si="6"/>
        <v>2.9540461028562937E-2</v>
      </c>
      <c r="F146" s="94">
        <v>23907.25</v>
      </c>
      <c r="G146" s="76">
        <f t="shared" si="7"/>
        <v>1.5916150717937137E-2</v>
      </c>
      <c r="H146" s="61"/>
    </row>
    <row r="147" spans="2:8" hidden="1" outlineLevel="1" x14ac:dyDescent="0.3">
      <c r="B147" s="99">
        <v>45621</v>
      </c>
      <c r="C147" s="94">
        <v>1099.6300000000001</v>
      </c>
      <c r="D147" s="76">
        <f t="shared" si="6"/>
        <v>-5.6246326355290505E-3</v>
      </c>
      <c r="F147" s="94">
        <v>24131.1</v>
      </c>
      <c r="G147" s="76">
        <f t="shared" si="7"/>
        <v>9.3632684645870417E-3</v>
      </c>
      <c r="H147" s="61"/>
    </row>
    <row r="148" spans="2:8" hidden="1" outlineLevel="1" x14ac:dyDescent="0.3">
      <c r="B148" s="99">
        <v>45628</v>
      </c>
      <c r="C148" s="94">
        <v>1115.94</v>
      </c>
      <c r="D148" s="76">
        <f t="shared" si="6"/>
        <v>1.4832261760774028E-2</v>
      </c>
      <c r="F148" s="94">
        <v>24677.8</v>
      </c>
      <c r="G148" s="76">
        <f t="shared" si="7"/>
        <v>2.265541148144928E-2</v>
      </c>
      <c r="H148" s="61"/>
    </row>
    <row r="149" spans="2:8" hidden="1" outlineLevel="1" x14ac:dyDescent="0.3">
      <c r="B149" s="99">
        <v>45635</v>
      </c>
      <c r="C149" s="94">
        <v>1108.9100000000001</v>
      </c>
      <c r="D149" s="76">
        <f t="shared" si="6"/>
        <v>-6.2996218434682623E-3</v>
      </c>
      <c r="F149" s="94">
        <v>24768.3</v>
      </c>
      <c r="G149" s="76">
        <f t="shared" si="7"/>
        <v>3.6672636944946472E-3</v>
      </c>
      <c r="H149" s="61"/>
    </row>
    <row r="150" spans="2:8" hidden="1" outlineLevel="1" x14ac:dyDescent="0.3">
      <c r="B150" s="99">
        <v>45642</v>
      </c>
      <c r="C150" s="94">
        <v>1064.6199999999999</v>
      </c>
      <c r="D150" s="76">
        <f t="shared" si="6"/>
        <v>-3.994012138045485E-2</v>
      </c>
      <c r="F150" s="94">
        <v>23587.5</v>
      </c>
      <c r="G150" s="76">
        <f t="shared" si="7"/>
        <v>-4.7673841159869647E-2</v>
      </c>
      <c r="H150" s="61"/>
    </row>
    <row r="151" spans="2:8" hidden="1" outlineLevel="1" x14ac:dyDescent="0.3">
      <c r="B151" s="99">
        <v>45649</v>
      </c>
      <c r="C151" s="94">
        <v>1065.6500000000001</v>
      </c>
      <c r="D151" s="76">
        <f t="shared" si="6"/>
        <v>9.6748135484980575E-4</v>
      </c>
      <c r="F151" s="94">
        <v>23813.4</v>
      </c>
      <c r="G151" s="76">
        <f t="shared" si="7"/>
        <v>9.5771065182830503E-3</v>
      </c>
      <c r="H151" s="61"/>
    </row>
    <row r="152" spans="2:8" hidden="1" outlineLevel="1" x14ac:dyDescent="0.3">
      <c r="B152" s="99">
        <v>45656</v>
      </c>
      <c r="C152" s="94">
        <v>1098.67</v>
      </c>
      <c r="D152" s="76">
        <f t="shared" si="6"/>
        <v>3.0985783324731366E-2</v>
      </c>
      <c r="F152" s="94">
        <v>24004.75</v>
      </c>
      <c r="G152" s="76">
        <f t="shared" si="7"/>
        <v>8.0353918382086772E-3</v>
      </c>
      <c r="H152" s="61"/>
    </row>
    <row r="153" spans="2:8" hidden="1" outlineLevel="1" x14ac:dyDescent="0.3">
      <c r="B153" s="99">
        <v>45663</v>
      </c>
      <c r="C153" s="94">
        <v>1106.1500000000001</v>
      </c>
      <c r="D153" s="76">
        <f t="shared" si="6"/>
        <v>6.8082317711414871E-3</v>
      </c>
      <c r="F153" s="94">
        <v>23431.5</v>
      </c>
      <c r="G153" s="76">
        <f t="shared" si="7"/>
        <v>-2.3880690280048741E-2</v>
      </c>
      <c r="H153" s="61"/>
    </row>
    <row r="154" spans="2:8" hidden="1" outlineLevel="1" x14ac:dyDescent="0.3">
      <c r="B154" s="99">
        <v>45670</v>
      </c>
      <c r="C154" s="94">
        <v>1091.04</v>
      </c>
      <c r="D154" s="76">
        <f t="shared" si="6"/>
        <v>-1.3659991863671407E-2</v>
      </c>
      <c r="F154" s="94">
        <v>23203.200000000001</v>
      </c>
      <c r="G154" s="76">
        <f t="shared" si="7"/>
        <v>-9.7432942833365031E-3</v>
      </c>
      <c r="H154" s="61"/>
    </row>
    <row r="155" spans="2:8" hidden="1" outlineLevel="1" x14ac:dyDescent="0.3">
      <c r="B155" s="99">
        <v>45677</v>
      </c>
      <c r="C155" s="94">
        <v>1086.47</v>
      </c>
      <c r="D155" s="76">
        <f t="shared" si="6"/>
        <v>-4.1886640269833703E-3</v>
      </c>
      <c r="F155" s="94">
        <v>23092.2</v>
      </c>
      <c r="G155" s="76">
        <f t="shared" si="7"/>
        <v>-4.7838229209764167E-3</v>
      </c>
      <c r="H155" s="61"/>
    </row>
    <row r="156" spans="2:8" hidden="1" outlineLevel="1" x14ac:dyDescent="0.3">
      <c r="B156" s="99">
        <v>45684</v>
      </c>
      <c r="C156" s="94">
        <v>1145.17</v>
      </c>
      <c r="D156" s="76">
        <f t="shared" si="6"/>
        <v>5.4028183014717429E-2</v>
      </c>
      <c r="F156" s="94">
        <v>23482.15</v>
      </c>
      <c r="G156" s="76">
        <f t="shared" si="7"/>
        <v>1.6886654368141654E-2</v>
      </c>
      <c r="H156" s="61"/>
    </row>
    <row r="157" spans="2:8" hidden="1" outlineLevel="1" x14ac:dyDescent="0.3">
      <c r="B157" s="99">
        <v>45691</v>
      </c>
      <c r="C157" s="94">
        <v>1094.93</v>
      </c>
      <c r="D157" s="76">
        <f t="shared" si="6"/>
        <v>-4.3871215627374109E-2</v>
      </c>
      <c r="F157" s="94">
        <v>23559.95</v>
      </c>
      <c r="G157" s="76">
        <f t="shared" si="7"/>
        <v>3.313154885732323E-3</v>
      </c>
      <c r="H157" s="61"/>
    </row>
    <row r="158" spans="2:8" hidden="1" outlineLevel="1" x14ac:dyDescent="0.3">
      <c r="B158" s="99">
        <v>45698</v>
      </c>
      <c r="C158" s="94">
        <v>1087.46</v>
      </c>
      <c r="D158" s="76">
        <f t="shared" si="6"/>
        <v>-6.8223539404345728E-3</v>
      </c>
      <c r="F158" s="94">
        <v>22929.25</v>
      </c>
      <c r="G158" s="76">
        <f t="shared" si="7"/>
        <v>-2.6770005878620315E-2</v>
      </c>
      <c r="H158" s="61"/>
    </row>
    <row r="159" spans="2:8" hidden="1" outlineLevel="1" x14ac:dyDescent="0.3">
      <c r="B159" s="99">
        <v>45705</v>
      </c>
      <c r="C159" s="94">
        <v>1096.92</v>
      </c>
      <c r="D159" s="76">
        <f t="shared" si="6"/>
        <v>8.6991705442039571E-3</v>
      </c>
      <c r="F159" s="94">
        <v>22795.9</v>
      </c>
      <c r="G159" s="76">
        <f t="shared" si="7"/>
        <v>-5.8157157342694828E-3</v>
      </c>
      <c r="H159" s="61"/>
    </row>
    <row r="160" spans="2:8" hidden="1" outlineLevel="1" x14ac:dyDescent="0.3">
      <c r="B160" s="99">
        <v>45712</v>
      </c>
      <c r="C160" s="94">
        <v>1084.3900000000001</v>
      </c>
      <c r="D160" s="76">
        <f t="shared" si="6"/>
        <v>-1.1422893191846235E-2</v>
      </c>
      <c r="F160" s="94">
        <v>22124.7</v>
      </c>
      <c r="G160" s="76">
        <f t="shared" si="7"/>
        <v>-2.9443891226053839E-2</v>
      </c>
      <c r="H160" s="61"/>
    </row>
    <row r="161" spans="2:8" hidden="1" outlineLevel="1" x14ac:dyDescent="0.3">
      <c r="B161" s="99">
        <v>45719</v>
      </c>
      <c r="C161" s="94">
        <v>1108.55</v>
      </c>
      <c r="D161" s="76">
        <f t="shared" si="6"/>
        <v>2.2279807080478289E-2</v>
      </c>
      <c r="F161" s="94">
        <v>22552.5</v>
      </c>
      <c r="G161" s="76">
        <f t="shared" si="7"/>
        <v>1.9335855401429139E-2</v>
      </c>
      <c r="H161" s="61"/>
    </row>
    <row r="162" spans="2:8" ht="16.8" hidden="1" customHeight="1" outlineLevel="1" x14ac:dyDescent="0.3">
      <c r="B162" s="99">
        <v>45726</v>
      </c>
      <c r="C162" s="94">
        <v>1085.53</v>
      </c>
      <c r="D162" s="76">
        <f t="shared" si="6"/>
        <v>-2.0765865319561573E-2</v>
      </c>
      <c r="F162" s="94">
        <v>22397.200000000001</v>
      </c>
      <c r="G162" s="76">
        <f t="shared" si="7"/>
        <v>-6.8861545283227703E-3</v>
      </c>
      <c r="H162" s="61"/>
    </row>
    <row r="163" spans="2:8" hidden="1" outlineLevel="1" x14ac:dyDescent="0.3">
      <c r="B163" s="99">
        <v>45733</v>
      </c>
      <c r="C163" s="94">
        <v>1123.6099999999999</v>
      </c>
      <c r="D163" s="76">
        <f t="shared" si="6"/>
        <v>3.5079638517590418E-2</v>
      </c>
      <c r="F163" s="94">
        <v>23350.400000000001</v>
      </c>
      <c r="G163" s="76">
        <f t="shared" si="7"/>
        <v>4.2558891289982706E-2</v>
      </c>
      <c r="H163" s="61"/>
    </row>
    <row r="164" spans="2:8" hidden="1" outlineLevel="1" x14ac:dyDescent="0.3">
      <c r="B164" s="99">
        <v>45740</v>
      </c>
      <c r="C164" s="94">
        <v>1114.6500000000001</v>
      </c>
      <c r="D164" s="76">
        <f t="shared" si="6"/>
        <v>-7.9742971315668338E-3</v>
      </c>
      <c r="F164" s="94">
        <v>23519.35</v>
      </c>
      <c r="G164" s="76">
        <f t="shared" si="7"/>
        <v>7.2354220912702596E-3</v>
      </c>
      <c r="H164" s="61"/>
    </row>
    <row r="165" spans="2:8" hidden="1" outlineLevel="1" x14ac:dyDescent="0.3">
      <c r="B165" s="99">
        <v>45747</v>
      </c>
      <c r="C165" s="94">
        <v>1120.29</v>
      </c>
      <c r="D165" s="76">
        <f t="shared" si="6"/>
        <v>5.0598842686043798E-3</v>
      </c>
      <c r="F165" s="94">
        <v>22904.45</v>
      </c>
      <c r="G165" s="76">
        <f t="shared" si="7"/>
        <v>-2.614443001188374E-2</v>
      </c>
      <c r="H165" s="61"/>
    </row>
    <row r="166" spans="2:8" hidden="1" outlineLevel="1" x14ac:dyDescent="0.3">
      <c r="B166" s="99">
        <v>45754</v>
      </c>
      <c r="C166" s="94">
        <v>1169.44</v>
      </c>
      <c r="D166" s="76">
        <f t="shared" si="6"/>
        <v>4.3872568709887698E-2</v>
      </c>
      <c r="F166" s="94">
        <v>22828.55</v>
      </c>
      <c r="G166" s="76">
        <f t="shared" si="7"/>
        <v>-3.3137665388167561E-3</v>
      </c>
      <c r="H166" s="61"/>
    </row>
    <row r="167" spans="2:8" hidden="1" outlineLevel="1" x14ac:dyDescent="0.3">
      <c r="B167" s="99">
        <v>45761</v>
      </c>
      <c r="C167" s="94">
        <v>1196.78</v>
      </c>
      <c r="D167" s="76">
        <f t="shared" si="6"/>
        <v>2.3378711177999657E-2</v>
      </c>
      <c r="F167" s="94">
        <v>23851.65</v>
      </c>
      <c r="G167" s="76">
        <f t="shared" si="7"/>
        <v>4.4816687875489342E-2</v>
      </c>
      <c r="H167" s="61"/>
    </row>
    <row r="168" spans="2:8" hidden="1" outlineLevel="1" x14ac:dyDescent="0.3">
      <c r="B168" s="99">
        <v>45768</v>
      </c>
      <c r="C168" s="94">
        <v>1195.24</v>
      </c>
      <c r="D168" s="76">
        <f t="shared" si="6"/>
        <v>-1.2867862096625643E-3</v>
      </c>
      <c r="F168" s="94">
        <v>24039.35</v>
      </c>
      <c r="G168" s="76">
        <f t="shared" si="7"/>
        <v>7.8694765351662085E-3</v>
      </c>
      <c r="H168" s="61"/>
    </row>
    <row r="169" spans="2:8" hidden="1" outlineLevel="1" x14ac:dyDescent="0.3">
      <c r="B169" s="99">
        <v>45775</v>
      </c>
      <c r="C169" s="94">
        <v>1154.78</v>
      </c>
      <c r="D169" s="76">
        <f t="shared" si="6"/>
        <v>-3.3850942070211873E-2</v>
      </c>
      <c r="F169" s="94">
        <v>24346.7</v>
      </c>
      <c r="G169" s="76">
        <f t="shared" si="7"/>
        <v>1.2785287455775726E-2</v>
      </c>
      <c r="H169" s="61"/>
    </row>
    <row r="170" spans="2:8" hidden="1" outlineLevel="1" x14ac:dyDescent="0.3">
      <c r="B170" s="99">
        <v>45782</v>
      </c>
      <c r="C170" s="94">
        <v>1151.6099999999999</v>
      </c>
      <c r="D170" s="76">
        <f t="shared" si="6"/>
        <v>-2.7451116229931872E-3</v>
      </c>
      <c r="F170" s="94">
        <v>24008</v>
      </c>
      <c r="G170" s="76">
        <f t="shared" si="7"/>
        <v>-1.3911536265695175E-2</v>
      </c>
      <c r="H170" s="61"/>
    </row>
    <row r="171" spans="2:8" hidden="1" outlineLevel="1" x14ac:dyDescent="0.3">
      <c r="B171" s="99">
        <v>45789</v>
      </c>
      <c r="C171" s="94">
        <v>1192.92</v>
      </c>
      <c r="D171" s="76">
        <f t="shared" si="6"/>
        <v>3.5871519003829573E-2</v>
      </c>
      <c r="F171" s="94">
        <v>25019.8</v>
      </c>
      <c r="G171" s="76">
        <f t="shared" si="7"/>
        <v>4.2144285238253885E-2</v>
      </c>
      <c r="H171" s="61"/>
    </row>
    <row r="172" spans="2:8" hidden="1" outlineLevel="1" x14ac:dyDescent="0.3">
      <c r="B172" s="99">
        <v>45796</v>
      </c>
      <c r="C172" s="94">
        <v>1195.69</v>
      </c>
      <c r="D172" s="76">
        <f t="shared" si="6"/>
        <v>2.3220333299802014E-3</v>
      </c>
      <c r="F172" s="94">
        <v>24853.15</v>
      </c>
      <c r="G172" s="76">
        <f t="shared" si="7"/>
        <v>-6.6607247060327347E-3</v>
      </c>
      <c r="H172" s="61"/>
    </row>
    <row r="173" spans="2:8" hidden="1" outlineLevel="1" x14ac:dyDescent="0.3">
      <c r="B173" s="99">
        <v>45803</v>
      </c>
      <c r="C173" s="94">
        <v>1186.68</v>
      </c>
      <c r="D173" s="76">
        <f t="shared" si="6"/>
        <v>-7.5353979710459989E-3</v>
      </c>
      <c r="F173" s="94">
        <v>24750.7</v>
      </c>
      <c r="G173" s="76">
        <f t="shared" si="7"/>
        <v>-4.1222138843567402E-3</v>
      </c>
      <c r="H173" s="61"/>
    </row>
    <row r="174" spans="2:8" hidden="1" outlineLevel="1" x14ac:dyDescent="0.3">
      <c r="B174" s="99">
        <v>45810</v>
      </c>
      <c r="C174" s="94">
        <v>1197.08</v>
      </c>
      <c r="D174" s="76">
        <f t="shared" si="6"/>
        <v>8.7639464725114292E-3</v>
      </c>
      <c r="F174" s="94">
        <v>25003.05</v>
      </c>
      <c r="G174" s="76">
        <f t="shared" si="7"/>
        <v>1.019567123354081E-2</v>
      </c>
      <c r="H174" s="61"/>
    </row>
    <row r="175" spans="2:8" hidden="1" outlineLevel="1" x14ac:dyDescent="0.3">
      <c r="B175" s="99">
        <v>45817</v>
      </c>
      <c r="C175" s="94">
        <v>1177.07</v>
      </c>
      <c r="D175" s="76">
        <f t="shared" si="6"/>
        <v>-1.6715674808701165E-2</v>
      </c>
      <c r="F175" s="94">
        <v>24718.6</v>
      </c>
      <c r="G175" s="76">
        <f t="shared" si="7"/>
        <v>-1.1376612053329523E-2</v>
      </c>
      <c r="H175" s="61"/>
    </row>
    <row r="176" spans="2:8" hidden="1" outlineLevel="1" x14ac:dyDescent="0.3">
      <c r="B176" s="99">
        <v>45824</v>
      </c>
      <c r="C176" s="94">
        <v>1168.95</v>
      </c>
      <c r="D176" s="76">
        <f t="shared" si="6"/>
        <v>-6.898485221779411E-3</v>
      </c>
      <c r="F176" s="94">
        <v>25112.400000000001</v>
      </c>
      <c r="G176" s="76">
        <f t="shared" si="7"/>
        <v>1.5931322971365812E-2</v>
      </c>
      <c r="H176" s="61"/>
    </row>
    <row r="177" spans="2:8" hidden="1" outlineLevel="1" x14ac:dyDescent="0.3">
      <c r="B177" s="99">
        <v>45831</v>
      </c>
      <c r="C177" s="94">
        <v>1217.6300000000001</v>
      </c>
      <c r="D177" s="76">
        <f t="shared" si="6"/>
        <v>4.1644210616365168E-2</v>
      </c>
      <c r="F177" s="94">
        <v>25637.8</v>
      </c>
      <c r="G177" s="76">
        <f t="shared" si="7"/>
        <v>2.0921934980328356E-2</v>
      </c>
      <c r="H177" s="61"/>
    </row>
    <row r="178" spans="2:8" hidden="1" outlineLevel="1" x14ac:dyDescent="0.3">
      <c r="B178" s="99">
        <v>45838</v>
      </c>
      <c r="C178" s="94">
        <v>1184.99</v>
      </c>
      <c r="D178" s="76">
        <f t="shared" si="6"/>
        <v>-2.680617264686325E-2</v>
      </c>
      <c r="F178" s="94">
        <v>25461</v>
      </c>
      <c r="G178" s="76">
        <f t="shared" si="7"/>
        <v>-6.8960675252946538E-3</v>
      </c>
      <c r="H178" s="61"/>
    </row>
    <row r="179" spans="2:8" hidden="1" outlineLevel="1" x14ac:dyDescent="0.3">
      <c r="B179" s="99">
        <v>45845</v>
      </c>
      <c r="C179" s="94">
        <v>1195.3</v>
      </c>
      <c r="D179" s="76">
        <f t="shared" si="6"/>
        <v>8.7004953628300203E-3</v>
      </c>
      <c r="F179" s="94">
        <v>25149.85</v>
      </c>
      <c r="G179" s="76">
        <f t="shared" si="7"/>
        <v>-1.2220651192019224E-2</v>
      </c>
      <c r="H179" s="61"/>
    </row>
    <row r="180" spans="2:8" hidden="1" outlineLevel="1" x14ac:dyDescent="0.3">
      <c r="B180" s="99">
        <v>45852</v>
      </c>
      <c r="C180" s="94">
        <v>1229.46</v>
      </c>
      <c r="D180" s="76">
        <f t="shared" si="6"/>
        <v>2.8578599514766236E-2</v>
      </c>
      <c r="F180" s="94">
        <v>24968.400000000001</v>
      </c>
      <c r="G180" s="76">
        <f t="shared" si="7"/>
        <v>-7.2147547599686317E-3</v>
      </c>
      <c r="H180" s="61"/>
    </row>
    <row r="181" spans="2:8" hidden="1" outlineLevel="1" x14ac:dyDescent="0.3">
      <c r="B181" s="99">
        <v>45859</v>
      </c>
      <c r="C181" s="94">
        <v>1131.19</v>
      </c>
      <c r="D181" s="76">
        <f t="shared" si="6"/>
        <v>-7.9929399899142689E-2</v>
      </c>
      <c r="F181" s="94">
        <v>24837</v>
      </c>
      <c r="G181" s="76">
        <f t="shared" si="7"/>
        <v>-5.2626519921180953E-3</v>
      </c>
      <c r="H181" s="61"/>
    </row>
    <row r="182" spans="2:8" hidden="1" outlineLevel="1" x14ac:dyDescent="0.3">
      <c r="B182" s="99">
        <v>45866</v>
      </c>
      <c r="C182" s="94">
        <v>1132.1400000000001</v>
      </c>
      <c r="D182" s="76">
        <f t="shared" si="6"/>
        <v>8.3982354865234433E-4</v>
      </c>
      <c r="F182" s="94">
        <v>24565.35</v>
      </c>
      <c r="G182" s="76">
        <f t="shared" si="7"/>
        <v>-1.0937311269477048E-2</v>
      </c>
      <c r="H182" s="61"/>
    </row>
    <row r="183" spans="2:8" hidden="1" outlineLevel="1" x14ac:dyDescent="0.3">
      <c r="B183" s="99">
        <v>45873</v>
      </c>
      <c r="C183" s="94">
        <v>1090.6099999999999</v>
      </c>
      <c r="D183" s="76">
        <f t="shared" si="6"/>
        <v>-3.6682742417015739E-2</v>
      </c>
      <c r="F183" s="94">
        <v>24363.3</v>
      </c>
      <c r="G183" s="76">
        <f t="shared" si="7"/>
        <v>-8.224999847345928E-3</v>
      </c>
      <c r="H183" s="61"/>
    </row>
    <row r="184" spans="2:8" hidden="1" outlineLevel="1" x14ac:dyDescent="0.3">
      <c r="B184" s="99">
        <v>45880</v>
      </c>
      <c r="C184" s="94">
        <v>1083.55</v>
      </c>
      <c r="D184" s="76">
        <f t="shared" ref="D184:D224" si="8">(C184-C183)/C183</f>
        <v>-6.4734414685359079E-3</v>
      </c>
      <c r="F184" s="94">
        <v>24631.3</v>
      </c>
      <c r="G184" s="76">
        <f t="shared" ref="G184:G224" si="9">(F184-F183)/F183</f>
        <v>1.1000151867768324E-2</v>
      </c>
      <c r="H184" s="61"/>
    </row>
    <row r="185" spans="2:8" hidden="1" outlineLevel="1" x14ac:dyDescent="0.3">
      <c r="B185" s="99">
        <v>45887</v>
      </c>
      <c r="C185" s="94">
        <v>1156.6600000000001</v>
      </c>
      <c r="D185" s="76">
        <f t="shared" si="8"/>
        <v>6.7472659314291111E-2</v>
      </c>
      <c r="F185" s="94">
        <v>24870.1</v>
      </c>
      <c r="G185" s="76">
        <f t="shared" si="9"/>
        <v>9.6949815884666782E-3</v>
      </c>
      <c r="H185" s="61"/>
    </row>
    <row r="186" spans="2:8" hidden="1" outlineLevel="1" x14ac:dyDescent="0.3">
      <c r="B186" s="99">
        <v>45894</v>
      </c>
      <c r="C186" s="94">
        <v>1149.99</v>
      </c>
      <c r="D186" s="76">
        <f t="shared" si="8"/>
        <v>-5.7666038420971354E-3</v>
      </c>
      <c r="F186" s="94">
        <v>24426.85</v>
      </c>
      <c r="G186" s="76">
        <f t="shared" si="9"/>
        <v>-1.7822606262138069E-2</v>
      </c>
      <c r="H186" s="61"/>
    </row>
    <row r="187" spans="2:8" hidden="1" outlineLevel="1" x14ac:dyDescent="0.3">
      <c r="B187" s="99">
        <v>45901</v>
      </c>
      <c r="C187" s="94">
        <v>1202.01</v>
      </c>
      <c r="D187" s="76">
        <f t="shared" si="8"/>
        <v>4.5235175958051793E-2</v>
      </c>
      <c r="F187" s="94">
        <v>24741</v>
      </c>
      <c r="G187" s="76">
        <f t="shared" si="9"/>
        <v>1.2860847796584557E-2</v>
      </c>
      <c r="H187" s="61"/>
    </row>
    <row r="188" spans="2:8" hidden="1" outlineLevel="1" x14ac:dyDescent="0.3">
      <c r="B188" s="99">
        <v>45908</v>
      </c>
      <c r="C188" s="94">
        <v>1211.06</v>
      </c>
      <c r="D188" s="76">
        <f t="shared" si="8"/>
        <v>7.5290554987062957E-3</v>
      </c>
      <c r="F188" s="94">
        <v>25114</v>
      </c>
      <c r="G188" s="76">
        <f t="shared" si="9"/>
        <v>1.5076189321369386E-2</v>
      </c>
      <c r="H188" s="61"/>
    </row>
    <row r="189" spans="2:8" hidden="1" outlineLevel="1" x14ac:dyDescent="0.3">
      <c r="B189" s="99">
        <v>45915</v>
      </c>
      <c r="C189" s="94">
        <v>1188.0899999999999</v>
      </c>
      <c r="D189" s="76">
        <f t="shared" si="8"/>
        <v>-1.8966855481974493E-2</v>
      </c>
      <c r="F189" s="94">
        <v>25327.05</v>
      </c>
      <c r="G189" s="76">
        <f t="shared" si="9"/>
        <v>8.4833160786811843E-3</v>
      </c>
      <c r="H189" s="61"/>
    </row>
    <row r="190" spans="2:8" hidden="1" outlineLevel="1" x14ac:dyDescent="0.3">
      <c r="B190" s="99">
        <v>45922</v>
      </c>
      <c r="C190" s="94">
        <v>1156.3599999999999</v>
      </c>
      <c r="D190" s="76">
        <f t="shared" si="8"/>
        <v>-2.6706730971559411E-2</v>
      </c>
      <c r="F190" s="94">
        <v>24654.7</v>
      </c>
      <c r="G190" s="76">
        <f t="shared" si="9"/>
        <v>-2.6546715863079141E-2</v>
      </c>
      <c r="H190" s="61"/>
    </row>
    <row r="191" spans="2:8" hidden="1" outlineLevel="1" x14ac:dyDescent="0.3">
      <c r="B191" s="99">
        <v>45929</v>
      </c>
      <c r="C191" s="94">
        <v>1163.6199999999999</v>
      </c>
      <c r="D191" s="76">
        <f t="shared" si="8"/>
        <v>6.278321629942225E-3</v>
      </c>
      <c r="F191" s="94">
        <v>24894.25</v>
      </c>
      <c r="G191" s="76">
        <f t="shared" si="9"/>
        <v>9.7162001565624101E-3</v>
      </c>
      <c r="H191" s="61"/>
    </row>
    <row r="192" spans="2:8" hidden="1" outlineLevel="1" x14ac:dyDescent="0.3">
      <c r="B192" s="99">
        <v>45936</v>
      </c>
      <c r="C192" s="94">
        <v>1193.06</v>
      </c>
      <c r="D192" s="76">
        <f t="shared" si="8"/>
        <v>2.5300355786253295E-2</v>
      </c>
      <c r="F192" s="94">
        <v>25285.35</v>
      </c>
      <c r="G192" s="76">
        <f t="shared" si="9"/>
        <v>1.5710455225604249E-2</v>
      </c>
      <c r="H192" s="61"/>
    </row>
    <row r="193" spans="2:7" hidden="1" outlineLevel="1" x14ac:dyDescent="0.3">
      <c r="B193" s="99">
        <v>45943</v>
      </c>
      <c r="C193" s="94">
        <v>1282.58</v>
      </c>
      <c r="D193" s="76">
        <f t="shared" si="8"/>
        <v>7.5033946322900766E-2</v>
      </c>
      <c r="F193" s="94">
        <v>25709.85</v>
      </c>
      <c r="G193" s="76">
        <f t="shared" si="9"/>
        <v>1.6788377459675267E-2</v>
      </c>
    </row>
    <row r="194" spans="2:7" hidden="1" outlineLevel="1" x14ac:dyDescent="0.3">
      <c r="B194" s="99">
        <v>45950</v>
      </c>
      <c r="C194" s="94">
        <v>1275.1199999999999</v>
      </c>
      <c r="D194" s="76">
        <f t="shared" si="8"/>
        <v>-5.8164013160972704E-3</v>
      </c>
      <c r="F194" s="94">
        <v>25795.15</v>
      </c>
      <c r="G194" s="76">
        <f t="shared" si="9"/>
        <v>3.3177945417807927E-3</v>
      </c>
    </row>
    <row r="195" spans="2:7" hidden="1" outlineLevel="1" x14ac:dyDescent="0.3">
      <c r="B195" s="99">
        <v>45957</v>
      </c>
      <c r="C195" s="94">
        <v>1264.77</v>
      </c>
      <c r="D195" s="76">
        <f t="shared" si="8"/>
        <v>-8.1168831168830467E-3</v>
      </c>
      <c r="F195" s="94">
        <v>25722.1</v>
      </c>
      <c r="G195" s="76">
        <f t="shared" si="9"/>
        <v>-2.8319277073404459E-3</v>
      </c>
    </row>
    <row r="196" spans="2:7" hidden="1" outlineLevel="1" x14ac:dyDescent="0.3">
      <c r="B196" s="99">
        <v>45964</v>
      </c>
      <c r="C196" s="94">
        <v>1255.92</v>
      </c>
      <c r="D196" s="76">
        <f t="shared" si="8"/>
        <v>-6.997319670770108E-3</v>
      </c>
      <c r="F196" s="94">
        <v>25492.3</v>
      </c>
      <c r="G196" s="76">
        <f t="shared" si="9"/>
        <v>-8.933951737999591E-3</v>
      </c>
    </row>
    <row r="197" spans="2:7" hidden="1" outlineLevel="1" x14ac:dyDescent="0.3">
      <c r="B197" s="99">
        <v>45971</v>
      </c>
      <c r="C197" s="94">
        <v>1264.77</v>
      </c>
      <c r="D197" s="76">
        <f t="shared" si="8"/>
        <v>7.0466271737052591E-3</v>
      </c>
      <c r="F197" s="94">
        <v>25910.05</v>
      </c>
      <c r="G197" s="76">
        <f t="shared" si="9"/>
        <v>1.638730126351879E-2</v>
      </c>
    </row>
    <row r="198" spans="2:7" hidden="1" outlineLevel="1" x14ac:dyDescent="0.3">
      <c r="B198" s="99">
        <v>45978</v>
      </c>
      <c r="C198" s="94">
        <v>1273.82</v>
      </c>
      <c r="D198" s="76">
        <f t="shared" si="8"/>
        <v>7.1554511887536509E-3</v>
      </c>
      <c r="F198" s="94">
        <v>26068.15</v>
      </c>
      <c r="G198" s="76">
        <f t="shared" si="9"/>
        <v>6.1018793865701606E-3</v>
      </c>
    </row>
    <row r="199" spans="2:7" hidden="1" outlineLevel="1" x14ac:dyDescent="0.3">
      <c r="B199" s="99">
        <v>45985</v>
      </c>
      <c r="C199" s="94">
        <v>1254.33</v>
      </c>
      <c r="D199" s="76">
        <f t="shared" si="8"/>
        <v>-1.530043491231101E-2</v>
      </c>
      <c r="F199" s="94">
        <v>26202.95</v>
      </c>
      <c r="G199" s="76">
        <f t="shared" si="9"/>
        <v>5.1710612375638187E-3</v>
      </c>
    </row>
    <row r="200" spans="2:7" hidden="1" outlineLevel="1" x14ac:dyDescent="0.3">
      <c r="B200" s="99">
        <v>45992</v>
      </c>
      <c r="C200" s="94">
        <v>1240.2</v>
      </c>
      <c r="D200" s="76">
        <f t="shared" si="8"/>
        <v>-1.1264978115806751E-2</v>
      </c>
      <c r="F200" s="94">
        <v>26186.45</v>
      </c>
      <c r="G200" s="76">
        <f t="shared" si="9"/>
        <v>-6.2970009102028589E-4</v>
      </c>
    </row>
    <row r="201" spans="2:7" hidden="1" outlineLevel="1" x14ac:dyDescent="0.3">
      <c r="B201" s="99">
        <v>45999</v>
      </c>
      <c r="C201" s="94">
        <v>1231.6500000000001</v>
      </c>
      <c r="D201" s="76">
        <f t="shared" si="8"/>
        <v>-6.8940493468794984E-3</v>
      </c>
      <c r="F201" s="94">
        <v>26046.95</v>
      </c>
      <c r="G201" s="76">
        <f t="shared" si="9"/>
        <v>-5.327182569611383E-3</v>
      </c>
    </row>
    <row r="202" spans="2:7" hidden="1" outlineLevel="1" x14ac:dyDescent="0.3">
      <c r="B202" s="99">
        <v>46006</v>
      </c>
      <c r="C202" s="94">
        <v>1237.72</v>
      </c>
      <c r="D202" s="76">
        <f t="shared" si="8"/>
        <v>4.9283481508544929E-3</v>
      </c>
      <c r="F202" s="94">
        <v>25966.400000000001</v>
      </c>
      <c r="G202" s="76">
        <f t="shared" si="9"/>
        <v>-3.0924925951022774E-3</v>
      </c>
    </row>
    <row r="203" spans="2:7" hidden="1" outlineLevel="1" x14ac:dyDescent="0.3">
      <c r="B203" s="99">
        <v>46013</v>
      </c>
      <c r="C203" s="94">
        <v>1265.77</v>
      </c>
      <c r="D203" s="76">
        <f t="shared" si="8"/>
        <v>2.2662637753288268E-2</v>
      </c>
      <c r="F203" s="94">
        <v>26042.3</v>
      </c>
      <c r="G203" s="76">
        <f t="shared" si="9"/>
        <v>2.9230081952060284E-3</v>
      </c>
    </row>
    <row r="204" spans="2:7" hidden="1" outlineLevel="1" x14ac:dyDescent="0.3">
      <c r="B204" s="99">
        <v>46020</v>
      </c>
      <c r="C204" s="94">
        <v>1272.83</v>
      </c>
      <c r="D204" s="76">
        <f t="shared" si="8"/>
        <v>5.5776325872788461E-3</v>
      </c>
      <c r="F204" s="94">
        <v>26328.55</v>
      </c>
      <c r="G204" s="76">
        <f t="shared" si="9"/>
        <v>1.0991732681061198E-2</v>
      </c>
    </row>
    <row r="205" spans="2:7" hidden="1" outlineLevel="1" x14ac:dyDescent="0.3">
      <c r="B205" s="99">
        <v>46027</v>
      </c>
      <c r="C205" s="94">
        <v>1292.1199999999999</v>
      </c>
      <c r="D205" s="76">
        <f t="shared" si="8"/>
        <v>1.5155205329855492E-2</v>
      </c>
      <c r="F205" s="94">
        <v>25683.3</v>
      </c>
      <c r="G205" s="76">
        <f t="shared" si="9"/>
        <v>-2.450761625687704E-2</v>
      </c>
    </row>
    <row r="206" spans="2:7" hidden="1" outlineLevel="1" x14ac:dyDescent="0.3">
      <c r="B206" s="99">
        <v>46034</v>
      </c>
      <c r="C206" s="94">
        <v>1308.83</v>
      </c>
      <c r="D206" s="76">
        <f t="shared" si="8"/>
        <v>1.2932235396093271E-2</v>
      </c>
      <c r="F206" s="94">
        <v>25694.35</v>
      </c>
      <c r="G206" s="76">
        <f t="shared" si="9"/>
        <v>4.3024066222016925E-4</v>
      </c>
    </row>
    <row r="207" spans="2:7" hidden="1" outlineLevel="1" x14ac:dyDescent="0.3">
      <c r="B207" s="99">
        <v>46041</v>
      </c>
      <c r="C207" s="94">
        <v>1286.8499999999999</v>
      </c>
      <c r="D207" s="76">
        <f t="shared" si="8"/>
        <v>-1.6793624840506421E-2</v>
      </c>
      <c r="F207" s="94">
        <v>25048.65</v>
      </c>
      <c r="G207" s="76">
        <f t="shared" si="9"/>
        <v>-2.5130038315816401E-2</v>
      </c>
    </row>
    <row r="208" spans="2:7" hidden="1" outlineLevel="1" x14ac:dyDescent="0.3">
      <c r="B208" s="99">
        <v>46048</v>
      </c>
      <c r="C208" s="94">
        <v>1275.6099999999999</v>
      </c>
      <c r="D208" s="76">
        <f t="shared" si="8"/>
        <v>-8.7345067412674445E-3</v>
      </c>
      <c r="F208" s="94">
        <v>24825.45</v>
      </c>
      <c r="G208" s="76">
        <f t="shared" si="9"/>
        <v>-8.9106598559204071E-3</v>
      </c>
    </row>
    <row r="209" spans="2:7" hidden="1" outlineLevel="1" x14ac:dyDescent="0.3">
      <c r="B209" s="99">
        <v>46055</v>
      </c>
      <c r="C209" s="94">
        <v>1296.3</v>
      </c>
      <c r="D209" s="76">
        <f t="shared" si="8"/>
        <v>1.6219690971378445E-2</v>
      </c>
      <c r="F209" s="94">
        <v>25693.7</v>
      </c>
      <c r="G209" s="76">
        <f t="shared" si="9"/>
        <v>3.4974189793135671E-2</v>
      </c>
    </row>
    <row r="210" spans="2:7" hidden="1" outlineLevel="1" x14ac:dyDescent="0.3">
      <c r="B210" s="99">
        <v>46062</v>
      </c>
      <c r="C210" s="94">
        <v>1282.5999999999999</v>
      </c>
      <c r="D210" s="76">
        <f t="shared" si="8"/>
        <v>-1.056854123273937E-2</v>
      </c>
      <c r="F210" s="94">
        <v>25471.1</v>
      </c>
      <c r="G210" s="76">
        <f t="shared" si="9"/>
        <v>-8.6636023616685088E-3</v>
      </c>
    </row>
    <row r="211" spans="2:7" hidden="1" outlineLevel="1" x14ac:dyDescent="0.3">
      <c r="B211" s="99">
        <v>46069</v>
      </c>
      <c r="C211" s="94">
        <v>1293.8</v>
      </c>
      <c r="D211" s="76">
        <f t="shared" si="8"/>
        <v>8.7322625916108274E-3</v>
      </c>
      <c r="F211" s="94">
        <v>25571.25</v>
      </c>
      <c r="G211" s="76">
        <f t="shared" si="9"/>
        <v>3.93190714181961E-3</v>
      </c>
    </row>
    <row r="212" spans="2:7" hidden="1" outlineLevel="1" x14ac:dyDescent="0.3">
      <c r="B212" s="99">
        <v>46076</v>
      </c>
      <c r="C212" s="94">
        <v>1291.7</v>
      </c>
      <c r="D212" s="76">
        <f t="shared" si="8"/>
        <v>-1.623125676302295E-3</v>
      </c>
      <c r="F212" s="94">
        <v>25178.65</v>
      </c>
      <c r="G212" s="76">
        <f t="shared" si="9"/>
        <v>-1.5353179840641289E-2</v>
      </c>
    </row>
    <row r="213" spans="2:7" hidden="1" outlineLevel="1" x14ac:dyDescent="0.3">
      <c r="B213" s="99">
        <v>46083</v>
      </c>
      <c r="C213" s="94">
        <v>1252.4000000000001</v>
      </c>
      <c r="D213" s="76">
        <f t="shared" si="8"/>
        <v>-3.0425021289773133E-2</v>
      </c>
      <c r="F213" s="94">
        <v>24450.45</v>
      </c>
      <c r="G213" s="76">
        <f t="shared" si="9"/>
        <v>-2.8921328188763126E-2</v>
      </c>
    </row>
    <row r="214" spans="2:7" hidden="1" outlineLevel="1" x14ac:dyDescent="0.3">
      <c r="B214" s="99">
        <v>46090</v>
      </c>
      <c r="C214" s="94">
        <v>1202.2</v>
      </c>
      <c r="D214" s="76">
        <f t="shared" si="8"/>
        <v>-4.008304056212076E-2</v>
      </c>
      <c r="F214" s="94">
        <v>23151.1</v>
      </c>
      <c r="G214" s="76">
        <f t="shared" si="9"/>
        <v>-5.3142171207482977E-2</v>
      </c>
    </row>
    <row r="215" spans="2:7" hidden="1" outlineLevel="1" x14ac:dyDescent="0.3">
      <c r="B215" s="99">
        <v>46097</v>
      </c>
      <c r="C215" s="94">
        <v>1193.5999999999999</v>
      </c>
      <c r="D215" s="76">
        <f t="shared" si="8"/>
        <v>-7.1535518216604031E-3</v>
      </c>
      <c r="F215" s="94">
        <v>23114.5</v>
      </c>
      <c r="G215" s="76">
        <f t="shared" si="9"/>
        <v>-1.5809184012854052E-3</v>
      </c>
    </row>
    <row r="216" spans="2:7" hidden="1" outlineLevel="1" x14ac:dyDescent="0.3">
      <c r="B216" s="99">
        <v>46104</v>
      </c>
      <c r="C216" s="94">
        <v>1193.2</v>
      </c>
      <c r="D216" s="76">
        <f t="shared" si="8"/>
        <v>-3.3512064343152112E-4</v>
      </c>
      <c r="F216" s="94">
        <v>22819.599999999999</v>
      </c>
      <c r="G216" s="76">
        <f t="shared" si="9"/>
        <v>-1.2758225356378093E-2</v>
      </c>
    </row>
    <row r="217" spans="2:7" hidden="1" outlineLevel="1" x14ac:dyDescent="0.3">
      <c r="B217" s="99">
        <v>46111</v>
      </c>
      <c r="C217" s="94">
        <v>1191.3</v>
      </c>
      <c r="D217" s="76">
        <f t="shared" si="8"/>
        <v>-1.5923566878981654E-3</v>
      </c>
      <c r="F217" s="94">
        <v>22713.1</v>
      </c>
      <c r="G217" s="76">
        <f t="shared" si="9"/>
        <v>-4.6670406142088382E-3</v>
      </c>
    </row>
    <row r="218" spans="2:7" hidden="1" outlineLevel="1" x14ac:dyDescent="0.3">
      <c r="B218" s="99">
        <v>46118</v>
      </c>
      <c r="C218" s="94">
        <v>1249.3</v>
      </c>
      <c r="D218" s="76">
        <f t="shared" si="8"/>
        <v>4.8686309074120714E-2</v>
      </c>
      <c r="F218" s="94">
        <v>24050.6</v>
      </c>
      <c r="G218" s="76">
        <f t="shared" si="9"/>
        <v>5.8886721759689349E-2</v>
      </c>
    </row>
    <row r="219" spans="2:7" hidden="1" outlineLevel="1" x14ac:dyDescent="0.3">
      <c r="B219" s="99">
        <v>46125</v>
      </c>
      <c r="C219" s="94">
        <v>1285.5999999999999</v>
      </c>
      <c r="D219" s="76">
        <f t="shared" si="8"/>
        <v>2.9056271512046712E-2</v>
      </c>
      <c r="F219" s="94">
        <v>24353.55</v>
      </c>
      <c r="G219" s="76">
        <f t="shared" si="9"/>
        <v>1.2596359342386499E-2</v>
      </c>
    </row>
    <row r="220" spans="2:7" hidden="1" outlineLevel="1" x14ac:dyDescent="0.3">
      <c r="B220" s="99">
        <v>46132</v>
      </c>
      <c r="C220" s="94">
        <v>1421.3</v>
      </c>
      <c r="D220" s="76">
        <f t="shared" si="8"/>
        <v>0.1055538270068451</v>
      </c>
      <c r="F220" s="94">
        <v>23897.95</v>
      </c>
      <c r="G220" s="76">
        <f t="shared" si="9"/>
        <v>-1.8707744866764745E-2</v>
      </c>
    </row>
    <row r="221" spans="2:7" hidden="1" outlineLevel="1" x14ac:dyDescent="0.3">
      <c r="B221" s="99">
        <v>46139</v>
      </c>
      <c r="C221" s="94">
        <v>1458.6</v>
      </c>
      <c r="D221" s="76">
        <f t="shared" si="8"/>
        <v>2.6243579821290337E-2</v>
      </c>
      <c r="F221" s="94">
        <v>23997.55</v>
      </c>
      <c r="G221" s="76">
        <f t="shared" si="9"/>
        <v>4.1677214991243409E-3</v>
      </c>
    </row>
    <row r="222" spans="2:7" hidden="1" outlineLevel="1" x14ac:dyDescent="0.3">
      <c r="B222" s="99">
        <v>46146</v>
      </c>
      <c r="C222" s="94">
        <v>1482.4</v>
      </c>
      <c r="D222" s="76">
        <f t="shared" si="8"/>
        <v>1.6317016317016441E-2</v>
      </c>
      <c r="F222" s="94">
        <v>24176.15</v>
      </c>
      <c r="G222" s="76">
        <f t="shared" si="9"/>
        <v>7.4424264143632237E-3</v>
      </c>
    </row>
    <row r="223" spans="2:7" hidden="1" outlineLevel="1" x14ac:dyDescent="0.3">
      <c r="B223" s="99">
        <v>46153</v>
      </c>
      <c r="C223" s="94">
        <v>1468.6</v>
      </c>
      <c r="D223" s="76">
        <f t="shared" si="8"/>
        <v>-9.3092282784674723E-3</v>
      </c>
      <c r="F223" s="94">
        <v>23379.55</v>
      </c>
      <c r="G223" s="76">
        <f t="shared" si="9"/>
        <v>-3.2949828653445735E-2</v>
      </c>
    </row>
    <row r="224" spans="2:7" hidden="1" outlineLevel="1" x14ac:dyDescent="0.3">
      <c r="B224" s="99">
        <v>46155</v>
      </c>
      <c r="C224" s="94">
        <v>1468.9</v>
      </c>
      <c r="D224" s="76">
        <f t="shared" si="8"/>
        <v>2.0427618139737296E-4</v>
      </c>
      <c r="F224" s="94">
        <v>23472.799999999999</v>
      </c>
      <c r="G224" s="76">
        <f t="shared" si="9"/>
        <v>3.9885284361760595E-3</v>
      </c>
    </row>
    <row r="225" spans="2:21" collapsed="1" x14ac:dyDescent="0.3"/>
    <row r="227" spans="2:21" x14ac:dyDescent="0.3">
      <c r="B227" s="199" t="s">
        <v>435</v>
      </c>
      <c r="C227" s="199"/>
      <c r="D227" s="199"/>
      <c r="F227" s="199" t="s">
        <v>253</v>
      </c>
      <c r="G227" s="199"/>
      <c r="I227" s="199" t="s">
        <v>252</v>
      </c>
      <c r="J227" s="199"/>
      <c r="K227" s="135"/>
    </row>
    <row r="228" spans="2:21" x14ac:dyDescent="0.3">
      <c r="B228" s="135"/>
      <c r="C228" s="135"/>
      <c r="D228" s="135"/>
      <c r="E228" s="135"/>
      <c r="F228" s="135"/>
      <c r="G228" s="135"/>
      <c r="H228" s="135"/>
      <c r="I228" s="135"/>
      <c r="J228" s="135"/>
      <c r="K228" s="135"/>
    </row>
    <row r="229" spans="2:21" hidden="1" outlineLevel="1" x14ac:dyDescent="0.3">
      <c r="B229" s="67" t="s">
        <v>251</v>
      </c>
      <c r="C229" s="98" t="s">
        <v>250</v>
      </c>
      <c r="D229" s="67" t="s">
        <v>249</v>
      </c>
      <c r="E229" s="135"/>
      <c r="F229" s="98" t="s">
        <v>250</v>
      </c>
      <c r="G229" s="67" t="s">
        <v>249</v>
      </c>
      <c r="H229" s="135"/>
      <c r="I229" s="59" t="s">
        <v>248</v>
      </c>
      <c r="J229" s="77">
        <f>M229</f>
        <v>0.54789185011471575</v>
      </c>
      <c r="K229" s="135"/>
      <c r="L229" s="145" t="s">
        <v>247</v>
      </c>
      <c r="M229" s="77">
        <f>SLOPE(D230:D335,G230:G335)</f>
        <v>0.54789185011471575</v>
      </c>
    </row>
    <row r="230" spans="2:21" hidden="1" outlineLevel="1" x14ac:dyDescent="0.3">
      <c r="B230" s="99">
        <v>45425</v>
      </c>
      <c r="C230" s="94">
        <v>585.57000000000005</v>
      </c>
      <c r="D230" s="97" t="s">
        <v>59</v>
      </c>
      <c r="F230" s="94">
        <v>22466.1</v>
      </c>
      <c r="G230" s="97" t="s">
        <v>59</v>
      </c>
      <c r="I230" s="59" t="s">
        <v>246</v>
      </c>
      <c r="J230" s="60">
        <v>0.75</v>
      </c>
      <c r="L230" s="145" t="s">
        <v>245</v>
      </c>
      <c r="M230" s="77">
        <f>_xlfn.COVARIANCE.S(D230:D335,G230:G335)/_xlfn.VAR.S(G230:G335)</f>
        <v>0.54789185011471553</v>
      </c>
    </row>
    <row r="231" spans="2:21" hidden="1" outlineLevel="1" x14ac:dyDescent="0.3">
      <c r="B231" s="99">
        <v>45432</v>
      </c>
      <c r="C231" s="94">
        <v>594.88</v>
      </c>
      <c r="D231" s="76">
        <f t="shared" ref="D231:D262" si="10">(C231-C230)/C230</f>
        <v>1.5899038543641143E-2</v>
      </c>
      <c r="F231" s="94">
        <v>22957.1</v>
      </c>
      <c r="G231" s="76">
        <f t="shared" ref="G231:G294" si="11">(F231-F230)/F230</f>
        <v>2.1855150649200353E-2</v>
      </c>
      <c r="I231" s="59" t="s">
        <v>244</v>
      </c>
      <c r="J231" s="59">
        <v>1</v>
      </c>
      <c r="L231" s="145" t="s">
        <v>254</v>
      </c>
      <c r="M231" t="s">
        <v>243</v>
      </c>
      <c r="N231"/>
      <c r="O231"/>
      <c r="P231"/>
      <c r="Q231"/>
      <c r="R231"/>
      <c r="S231"/>
      <c r="T231"/>
      <c r="U231"/>
    </row>
    <row r="232" spans="2:21" ht="15" hidden="1" outlineLevel="1" thickBot="1" x14ac:dyDescent="0.35">
      <c r="B232" s="99">
        <v>45439</v>
      </c>
      <c r="C232" s="94">
        <v>586.55999999999995</v>
      </c>
      <c r="D232" s="76">
        <f t="shared" si="10"/>
        <v>-1.3986013986014071E-2</v>
      </c>
      <c r="F232" s="94">
        <v>22530.7</v>
      </c>
      <c r="G232" s="76">
        <f t="shared" si="11"/>
        <v>-1.8573774562117944E-2</v>
      </c>
      <c r="I232" s="59" t="s">
        <v>242</v>
      </c>
      <c r="J232" s="60">
        <v>0.25</v>
      </c>
      <c r="M232"/>
      <c r="N232"/>
      <c r="O232"/>
      <c r="P232"/>
      <c r="Q232"/>
      <c r="R232"/>
      <c r="S232"/>
      <c r="T232"/>
      <c r="U232"/>
    </row>
    <row r="233" spans="2:21" hidden="1" outlineLevel="1" x14ac:dyDescent="0.3">
      <c r="B233" s="99">
        <v>45446</v>
      </c>
      <c r="C233" s="94">
        <v>643.14</v>
      </c>
      <c r="D233" s="76">
        <f t="shared" si="10"/>
        <v>9.6460720130932973E-2</v>
      </c>
      <c r="F233" s="94">
        <v>23290.15</v>
      </c>
      <c r="G233" s="76">
        <f t="shared" si="11"/>
        <v>3.3707341538434257E-2</v>
      </c>
      <c r="I233" s="96" t="s">
        <v>241</v>
      </c>
      <c r="J233" s="95">
        <f>(J229*J230)+(J231*J232)</f>
        <v>0.66091888758603679</v>
      </c>
      <c r="M233" s="143" t="s">
        <v>240</v>
      </c>
      <c r="N233" s="143"/>
      <c r="O233"/>
      <c r="P233"/>
      <c r="Q233"/>
      <c r="R233"/>
      <c r="S233"/>
      <c r="T233"/>
      <c r="U233"/>
    </row>
    <row r="234" spans="2:21" hidden="1" outlineLevel="1" x14ac:dyDescent="0.3">
      <c r="B234" s="99">
        <v>45453</v>
      </c>
      <c r="C234" s="94">
        <v>610</v>
      </c>
      <c r="D234" s="76">
        <f t="shared" si="10"/>
        <v>-5.1528438598127918E-2</v>
      </c>
      <c r="F234" s="94">
        <v>23465.599999999999</v>
      </c>
      <c r="G234" s="76">
        <f t="shared" si="11"/>
        <v>7.5332275661598178E-3</v>
      </c>
      <c r="M234" t="s">
        <v>239</v>
      </c>
      <c r="N234">
        <v>0.35890976582033979</v>
      </c>
      <c r="O234"/>
      <c r="P234"/>
      <c r="Q234"/>
      <c r="R234"/>
      <c r="S234"/>
      <c r="T234"/>
      <c r="U234"/>
    </row>
    <row r="235" spans="2:21" hidden="1" outlineLevel="1" x14ac:dyDescent="0.3">
      <c r="B235" s="99">
        <v>45460</v>
      </c>
      <c r="C235" s="94">
        <v>600.59</v>
      </c>
      <c r="D235" s="76">
        <f t="shared" si="10"/>
        <v>-1.5426229508196668E-2</v>
      </c>
      <c r="F235" s="94">
        <v>23501.1</v>
      </c>
      <c r="G235" s="76">
        <f t="shared" si="11"/>
        <v>1.5128528569480432E-3</v>
      </c>
      <c r="M235" t="s">
        <v>238</v>
      </c>
      <c r="N235">
        <v>0.12881622000121115</v>
      </c>
      <c r="O235"/>
      <c r="P235"/>
      <c r="Q235"/>
      <c r="R235"/>
      <c r="S235"/>
      <c r="T235"/>
      <c r="U235"/>
    </row>
    <row r="236" spans="2:21" hidden="1" outlineLevel="1" x14ac:dyDescent="0.3">
      <c r="B236" s="99">
        <v>45467</v>
      </c>
      <c r="C236" s="94">
        <v>603.74</v>
      </c>
      <c r="D236" s="76">
        <f t="shared" si="10"/>
        <v>5.2448425714713481E-3</v>
      </c>
      <c r="F236" s="94">
        <v>24010.6</v>
      </c>
      <c r="G236" s="76">
        <f t="shared" si="11"/>
        <v>2.1679836262983435E-2</v>
      </c>
      <c r="M236" t="s">
        <v>237</v>
      </c>
      <c r="N236">
        <v>0.1203581250497666</v>
      </c>
      <c r="O236"/>
      <c r="P236"/>
      <c r="Q236"/>
      <c r="R236"/>
      <c r="S236"/>
      <c r="T236"/>
      <c r="U236"/>
    </row>
    <row r="237" spans="2:21" hidden="1" outlineLevel="1" x14ac:dyDescent="0.3">
      <c r="B237" s="99">
        <v>45474</v>
      </c>
      <c r="C237" s="94">
        <v>606.05999999999995</v>
      </c>
      <c r="D237" s="76">
        <f t="shared" si="10"/>
        <v>3.842713750952291E-3</v>
      </c>
      <c r="F237" s="94">
        <v>24323.85</v>
      </c>
      <c r="G237" s="76">
        <f t="shared" si="11"/>
        <v>1.3046321208133075E-2</v>
      </c>
      <c r="M237" t="s">
        <v>226</v>
      </c>
      <c r="N237">
        <v>2.6869748771128882E-2</v>
      </c>
      <c r="O237"/>
      <c r="P237"/>
      <c r="Q237"/>
      <c r="R237"/>
      <c r="S237"/>
      <c r="T237"/>
      <c r="U237"/>
    </row>
    <row r="238" spans="2:21" ht="15" hidden="1" outlineLevel="1" thickBot="1" x14ac:dyDescent="0.35">
      <c r="B238" s="99">
        <v>45481</v>
      </c>
      <c r="C238" s="94">
        <v>640.28</v>
      </c>
      <c r="D238" s="76">
        <f t="shared" si="10"/>
        <v>5.6463056463056514E-2</v>
      </c>
      <c r="F238" s="94">
        <v>24502.15</v>
      </c>
      <c r="G238" s="76">
        <f t="shared" si="11"/>
        <v>7.3302540510652272E-3</v>
      </c>
      <c r="M238" s="141" t="s">
        <v>236</v>
      </c>
      <c r="N238" s="141">
        <v>105</v>
      </c>
      <c r="O238"/>
      <c r="P238"/>
      <c r="Q238"/>
      <c r="R238"/>
      <c r="S238"/>
      <c r="T238"/>
      <c r="U238"/>
    </row>
    <row r="239" spans="2:21" hidden="1" outlineLevel="1" x14ac:dyDescent="0.3">
      <c r="B239" s="99">
        <v>45488</v>
      </c>
      <c r="C239" s="94">
        <v>658.55</v>
      </c>
      <c r="D239" s="76">
        <f t="shared" si="10"/>
        <v>2.8534391203848288E-2</v>
      </c>
      <c r="F239" s="94">
        <v>24530.9</v>
      </c>
      <c r="G239" s="76">
        <f t="shared" si="11"/>
        <v>1.1733664188652831E-3</v>
      </c>
      <c r="M239"/>
      <c r="N239"/>
      <c r="O239"/>
      <c r="P239"/>
      <c r="Q239"/>
      <c r="R239"/>
      <c r="S239"/>
      <c r="T239"/>
      <c r="U239"/>
    </row>
    <row r="240" spans="2:21" ht="15" hidden="1" outlineLevel="1" thickBot="1" x14ac:dyDescent="0.35">
      <c r="B240" s="99">
        <v>45495</v>
      </c>
      <c r="C240" s="94">
        <v>669.49</v>
      </c>
      <c r="D240" s="76">
        <f t="shared" si="10"/>
        <v>1.661225419482204E-2</v>
      </c>
      <c r="F240" s="94">
        <v>24834.85</v>
      </c>
      <c r="G240" s="76">
        <f t="shared" si="11"/>
        <v>1.2390495252925782E-2</v>
      </c>
      <c r="M240" t="s">
        <v>235</v>
      </c>
      <c r="N240"/>
      <c r="O240"/>
      <c r="P240"/>
      <c r="Q240"/>
      <c r="R240"/>
      <c r="S240"/>
      <c r="T240"/>
      <c r="U240"/>
    </row>
    <row r="241" spans="2:22" hidden="1" outlineLevel="1" x14ac:dyDescent="0.3">
      <c r="B241" s="99">
        <v>45509</v>
      </c>
      <c r="C241" s="94">
        <v>643.14</v>
      </c>
      <c r="D241" s="76">
        <f t="shared" si="10"/>
        <v>-3.9358317525280469E-2</v>
      </c>
      <c r="F241" s="94">
        <v>24717.7</v>
      </c>
      <c r="G241" s="76">
        <f t="shared" si="11"/>
        <v>-4.7171615693268861E-3</v>
      </c>
      <c r="M241" s="142"/>
      <c r="N241" s="142" t="s">
        <v>234</v>
      </c>
      <c r="O241" s="142" t="s">
        <v>233</v>
      </c>
      <c r="P241" s="142" t="s">
        <v>232</v>
      </c>
      <c r="Q241" s="142" t="s">
        <v>231</v>
      </c>
      <c r="R241" s="142" t="s">
        <v>230</v>
      </c>
      <c r="S241"/>
      <c r="T241"/>
      <c r="U241"/>
    </row>
    <row r="242" spans="2:22" hidden="1" outlineLevel="1" x14ac:dyDescent="0.3">
      <c r="B242" s="99">
        <v>45509</v>
      </c>
      <c r="C242" s="94">
        <v>652.4</v>
      </c>
      <c r="D242" s="76">
        <f t="shared" si="10"/>
        <v>1.4398109276362831E-2</v>
      </c>
      <c r="F242" s="94">
        <v>24367.5</v>
      </c>
      <c r="G242" s="76">
        <f t="shared" si="11"/>
        <v>-1.416798488532512E-2</v>
      </c>
      <c r="M242" t="s">
        <v>229</v>
      </c>
      <c r="N242">
        <v>1</v>
      </c>
      <c r="O242">
        <v>1.0995758844012507E-2</v>
      </c>
      <c r="P242">
        <v>1.0995758844012507E-2</v>
      </c>
      <c r="Q242">
        <v>15.22993306893661</v>
      </c>
      <c r="R242">
        <v>1.70062568520696E-4</v>
      </c>
      <c r="S242"/>
      <c r="T242"/>
      <c r="U242"/>
    </row>
    <row r="243" spans="2:22" hidden="1" outlineLevel="1" x14ac:dyDescent="0.3">
      <c r="B243" s="99">
        <v>45516</v>
      </c>
      <c r="C243" s="94">
        <v>651.07000000000005</v>
      </c>
      <c r="D243" s="76">
        <f t="shared" si="10"/>
        <v>-2.0386266094419487E-3</v>
      </c>
      <c r="F243" s="94">
        <v>24541.15</v>
      </c>
      <c r="G243" s="76">
        <f t="shared" si="11"/>
        <v>7.1262952703396512E-3</v>
      </c>
      <c r="M243" t="s">
        <v>228</v>
      </c>
      <c r="N243">
        <v>103</v>
      </c>
      <c r="O243">
        <v>7.4364290099428951E-2</v>
      </c>
      <c r="P243">
        <v>7.2198339902358201E-4</v>
      </c>
      <c r="Q243"/>
      <c r="R243"/>
      <c r="S243"/>
      <c r="T243"/>
      <c r="U243"/>
    </row>
    <row r="244" spans="2:22" ht="15" hidden="1" outlineLevel="1" thickBot="1" x14ac:dyDescent="0.35">
      <c r="B244" s="99">
        <v>45523</v>
      </c>
      <c r="C244" s="94">
        <v>667.96</v>
      </c>
      <c r="D244" s="76">
        <f t="shared" si="10"/>
        <v>2.5941911008032906E-2</v>
      </c>
      <c r="F244" s="94">
        <v>24823.15</v>
      </c>
      <c r="G244" s="76">
        <f t="shared" si="11"/>
        <v>1.1490904052988551E-2</v>
      </c>
      <c r="M244" s="141" t="s">
        <v>13</v>
      </c>
      <c r="N244" s="141">
        <v>104</v>
      </c>
      <c r="O244" s="141">
        <v>8.5360048943441458E-2</v>
      </c>
      <c r="P244" s="141"/>
      <c r="Q244" s="141"/>
      <c r="R244" s="141"/>
      <c r="S244"/>
      <c r="T244"/>
      <c r="U244"/>
    </row>
    <row r="245" spans="2:22" ht="15" hidden="1" outlineLevel="1" thickBot="1" x14ac:dyDescent="0.35">
      <c r="B245" s="99">
        <v>45530</v>
      </c>
      <c r="C245" s="94">
        <v>637.38</v>
      </c>
      <c r="D245" s="76">
        <f t="shared" si="10"/>
        <v>-4.5781184502066051E-2</v>
      </c>
      <c r="F245" s="94">
        <v>25235.9</v>
      </c>
      <c r="G245" s="76">
        <f t="shared" si="11"/>
        <v>1.6627623810837867E-2</v>
      </c>
      <c r="M245"/>
      <c r="N245"/>
      <c r="O245"/>
      <c r="P245"/>
      <c r="Q245"/>
      <c r="R245"/>
      <c r="S245"/>
      <c r="T245"/>
      <c r="U245"/>
    </row>
    <row r="246" spans="2:22" hidden="1" outlineLevel="1" x14ac:dyDescent="0.3">
      <c r="B246" s="99">
        <v>45537</v>
      </c>
      <c r="C246" s="94">
        <v>655.20000000000005</v>
      </c>
      <c r="D246" s="76">
        <f t="shared" si="10"/>
        <v>2.795820389720426E-2</v>
      </c>
      <c r="F246" s="94">
        <v>24852.15</v>
      </c>
      <c r="G246" s="76">
        <f t="shared" si="11"/>
        <v>-1.5206511358818191E-2</v>
      </c>
      <c r="M246" s="142"/>
      <c r="N246" s="142" t="s">
        <v>227</v>
      </c>
      <c r="O246" s="142" t="s">
        <v>226</v>
      </c>
      <c r="P246" s="142" t="s">
        <v>225</v>
      </c>
      <c r="Q246" s="142" t="s">
        <v>224</v>
      </c>
      <c r="R246" s="142" t="s">
        <v>223</v>
      </c>
      <c r="S246" s="142" t="s">
        <v>222</v>
      </c>
      <c r="T246" s="142" t="s">
        <v>221</v>
      </c>
      <c r="U246" s="142" t="s">
        <v>220</v>
      </c>
    </row>
    <row r="247" spans="2:22" hidden="1" outlineLevel="1" x14ac:dyDescent="0.3">
      <c r="B247" s="99">
        <v>45544</v>
      </c>
      <c r="C247" s="94">
        <v>671.65</v>
      </c>
      <c r="D247" s="76">
        <f t="shared" si="10"/>
        <v>2.51068376068375E-2</v>
      </c>
      <c r="F247" s="94">
        <v>25356.5</v>
      </c>
      <c r="G247" s="76">
        <f t="shared" si="11"/>
        <v>2.029401882734486E-2</v>
      </c>
      <c r="M247" t="s">
        <v>219</v>
      </c>
      <c r="N247">
        <v>3.4226526197478862E-3</v>
      </c>
      <c r="O247">
        <v>2.6235244820247109E-3</v>
      </c>
      <c r="P247">
        <v>1.3046009835999115</v>
      </c>
      <c r="Q247">
        <v>0.19493621373351697</v>
      </c>
      <c r="R247">
        <v>-1.7804894183870881E-3</v>
      </c>
      <c r="S247">
        <v>8.6257946578828602E-3</v>
      </c>
      <c r="T247">
        <v>-1.7804894183870881E-3</v>
      </c>
      <c r="U247">
        <v>8.6257946578828602E-3</v>
      </c>
    </row>
    <row r="248" spans="2:22" ht="15" hidden="1" outlineLevel="1" thickBot="1" x14ac:dyDescent="0.35">
      <c r="B248" s="99">
        <v>45551</v>
      </c>
      <c r="C248" s="94">
        <v>698.29</v>
      </c>
      <c r="D248" s="76">
        <f t="shared" si="10"/>
        <v>3.9663515223702803E-2</v>
      </c>
      <c r="F248" s="94">
        <v>25790.95</v>
      </c>
      <c r="G248" s="76">
        <f t="shared" si="11"/>
        <v>1.7133673811448771E-2</v>
      </c>
      <c r="M248" s="141" t="s">
        <v>218</v>
      </c>
      <c r="N248" s="141">
        <v>0.54191450355403104</v>
      </c>
      <c r="O248" s="141">
        <v>0.13886147595714002</v>
      </c>
      <c r="P248" s="141">
        <v>3.9025546849386394</v>
      </c>
      <c r="Q248" s="141">
        <v>1.7006256852070326E-4</v>
      </c>
      <c r="R248" s="141">
        <v>0.26651551719791328</v>
      </c>
      <c r="S248" s="141">
        <v>0.81731348991014885</v>
      </c>
      <c r="T248" s="141">
        <v>0.26651551719791328</v>
      </c>
      <c r="U248" s="141">
        <v>0.81731348991014885</v>
      </c>
    </row>
    <row r="249" spans="2:22" hidden="1" outlineLevel="1" x14ac:dyDescent="0.3">
      <c r="B249" s="99">
        <v>45558</v>
      </c>
      <c r="C249" s="94">
        <v>681.99</v>
      </c>
      <c r="D249" s="76">
        <f t="shared" si="10"/>
        <v>-2.3342737258159153E-2</v>
      </c>
      <c r="F249" s="94">
        <v>26178.95</v>
      </c>
      <c r="G249" s="76">
        <f t="shared" si="11"/>
        <v>1.5044036764834175E-2</v>
      </c>
      <c r="M249"/>
      <c r="N249"/>
      <c r="O249"/>
      <c r="P249"/>
      <c r="Q249"/>
      <c r="R249"/>
      <c r="S249"/>
      <c r="T249"/>
      <c r="U249"/>
    </row>
    <row r="250" spans="2:22" hidden="1" outlineLevel="1" x14ac:dyDescent="0.3">
      <c r="B250" s="99">
        <v>45565</v>
      </c>
      <c r="C250" s="94">
        <v>679.78</v>
      </c>
      <c r="D250" s="76">
        <f t="shared" si="10"/>
        <v>-3.2405167231191606E-3</v>
      </c>
      <c r="F250" s="94">
        <v>25014.6</v>
      </c>
      <c r="G250" s="76">
        <f t="shared" si="11"/>
        <v>-4.4476573735768708E-2</v>
      </c>
      <c r="M250"/>
      <c r="N250"/>
      <c r="O250"/>
      <c r="P250"/>
      <c r="Q250"/>
      <c r="R250"/>
      <c r="S250"/>
      <c r="T250"/>
      <c r="U250"/>
      <c r="V250" s="61"/>
    </row>
    <row r="251" spans="2:22" hidden="1" outlineLevel="1" x14ac:dyDescent="0.3">
      <c r="B251" s="99">
        <v>45572</v>
      </c>
      <c r="C251" s="94">
        <v>675.15</v>
      </c>
      <c r="D251" s="76">
        <f t="shared" si="10"/>
        <v>-6.8110270970019645E-3</v>
      </c>
      <c r="F251" s="94">
        <v>24964.25</v>
      </c>
      <c r="G251" s="76">
        <f t="shared" si="11"/>
        <v>-2.012824510485818E-3</v>
      </c>
      <c r="M251"/>
      <c r="N251"/>
      <c r="O251"/>
      <c r="P251"/>
      <c r="Q251"/>
      <c r="R251"/>
      <c r="S251"/>
      <c r="T251"/>
      <c r="U251"/>
      <c r="V251" s="61"/>
    </row>
    <row r="252" spans="2:22" hidden="1" outlineLevel="1" x14ac:dyDescent="0.3">
      <c r="B252" s="99">
        <v>45579</v>
      </c>
      <c r="C252" s="94">
        <v>659.19</v>
      </c>
      <c r="D252" s="76">
        <f t="shared" si="10"/>
        <v>-2.3639191290824146E-2</v>
      </c>
      <c r="F252" s="94">
        <v>24854.05</v>
      </c>
      <c r="G252" s="76">
        <f t="shared" si="11"/>
        <v>-4.4143124668275923E-3</v>
      </c>
      <c r="Q252" s="94"/>
      <c r="R252" s="94"/>
      <c r="S252" s="94"/>
      <c r="T252" s="94"/>
      <c r="U252" s="94"/>
      <c r="V252" s="61"/>
    </row>
    <row r="253" spans="2:22" hidden="1" outlineLevel="1" x14ac:dyDescent="0.3">
      <c r="B253" s="99">
        <v>45586</v>
      </c>
      <c r="C253" s="94">
        <v>630.42999999999995</v>
      </c>
      <c r="D253" s="76">
        <f t="shared" si="10"/>
        <v>-4.3629302628984214E-2</v>
      </c>
      <c r="F253" s="94">
        <v>24180.799999999999</v>
      </c>
      <c r="G253" s="76">
        <f t="shared" si="11"/>
        <v>-2.7088140564616229E-2</v>
      </c>
      <c r="Q253" s="94"/>
      <c r="R253" s="94"/>
      <c r="S253" s="94"/>
      <c r="T253" s="94"/>
      <c r="U253" s="94"/>
      <c r="V253" s="61"/>
    </row>
    <row r="254" spans="2:22" hidden="1" outlineLevel="1" x14ac:dyDescent="0.3">
      <c r="B254" s="99">
        <v>45593</v>
      </c>
      <c r="C254" s="94">
        <v>636.20000000000005</v>
      </c>
      <c r="D254" s="76">
        <f t="shared" si="10"/>
        <v>9.1524832257349684E-3</v>
      </c>
      <c r="F254" s="94">
        <v>24304.35</v>
      </c>
      <c r="G254" s="76">
        <f t="shared" si="11"/>
        <v>5.1094256600277606E-3</v>
      </c>
      <c r="Q254" s="94"/>
      <c r="R254" s="94"/>
      <c r="S254" s="94"/>
      <c r="T254" s="94"/>
      <c r="U254" s="94"/>
      <c r="V254" s="61"/>
    </row>
    <row r="255" spans="2:22" hidden="1" outlineLevel="1" x14ac:dyDescent="0.3">
      <c r="B255" s="99">
        <v>45600</v>
      </c>
      <c r="C255" s="94">
        <v>620.34</v>
      </c>
      <c r="D255" s="76">
        <f t="shared" si="10"/>
        <v>-2.4929267525935259E-2</v>
      </c>
      <c r="F255" s="94">
        <v>24148.2</v>
      </c>
      <c r="G255" s="76">
        <f t="shared" si="11"/>
        <v>-6.424775811737316E-3</v>
      </c>
      <c r="Q255" s="94"/>
      <c r="R255" s="94"/>
      <c r="S255" s="94"/>
      <c r="T255" s="94"/>
      <c r="U255" s="94"/>
      <c r="V255" s="61"/>
    </row>
    <row r="256" spans="2:22" hidden="1" outlineLevel="1" x14ac:dyDescent="0.3">
      <c r="B256" s="99">
        <v>45607</v>
      </c>
      <c r="C256" s="94">
        <v>583.30999999999995</v>
      </c>
      <c r="D256" s="76">
        <f t="shared" si="10"/>
        <v>-5.9693071541412908E-2</v>
      </c>
      <c r="F256" s="94">
        <v>23532.7</v>
      </c>
      <c r="G256" s="76">
        <f t="shared" si="11"/>
        <v>-2.5488442202731467E-2</v>
      </c>
      <c r="Q256" s="94"/>
      <c r="R256" s="94"/>
      <c r="S256" s="94"/>
      <c r="T256" s="94"/>
      <c r="U256" s="94"/>
      <c r="V256" s="61"/>
    </row>
    <row r="257" spans="2:22" hidden="1" outlineLevel="1" x14ac:dyDescent="0.3">
      <c r="B257" s="99">
        <v>45614</v>
      </c>
      <c r="C257" s="94">
        <v>590.1</v>
      </c>
      <c r="D257" s="76">
        <f t="shared" si="10"/>
        <v>1.1640465618624878E-2</v>
      </c>
      <c r="F257" s="94">
        <v>23907.25</v>
      </c>
      <c r="G257" s="76">
        <f t="shared" si="11"/>
        <v>1.5916150717937137E-2</v>
      </c>
      <c r="Q257" s="94"/>
      <c r="R257" s="94"/>
      <c r="S257" s="94"/>
      <c r="T257" s="94"/>
      <c r="U257" s="94"/>
      <c r="V257" s="61"/>
    </row>
    <row r="258" spans="2:22" hidden="1" outlineLevel="1" x14ac:dyDescent="0.3">
      <c r="B258" s="99">
        <v>45621</v>
      </c>
      <c r="C258" s="94">
        <v>635.21</v>
      </c>
      <c r="D258" s="76">
        <f t="shared" si="10"/>
        <v>7.6444670394848355E-2</v>
      </c>
      <c r="F258" s="94">
        <v>24131.1</v>
      </c>
      <c r="G258" s="76">
        <f t="shared" si="11"/>
        <v>9.3632684645870417E-3</v>
      </c>
      <c r="Q258" s="94"/>
      <c r="R258" s="94"/>
      <c r="S258" s="94"/>
      <c r="T258" s="94"/>
      <c r="U258" s="94"/>
      <c r="V258" s="61"/>
    </row>
    <row r="259" spans="2:22" hidden="1" outlineLevel="1" x14ac:dyDescent="0.3">
      <c r="B259" s="99">
        <v>45628</v>
      </c>
      <c r="C259" s="94">
        <v>624.08000000000004</v>
      </c>
      <c r="D259" s="76">
        <f t="shared" si="10"/>
        <v>-1.7521764455849239E-2</v>
      </c>
      <c r="F259" s="94">
        <v>24677.8</v>
      </c>
      <c r="G259" s="76">
        <f t="shared" si="11"/>
        <v>2.265541148144928E-2</v>
      </c>
      <c r="Q259" s="94"/>
      <c r="R259" s="94"/>
      <c r="S259" s="94"/>
      <c r="T259" s="94"/>
      <c r="U259" s="94"/>
      <c r="V259" s="61"/>
    </row>
    <row r="260" spans="2:22" hidden="1" outlineLevel="1" x14ac:dyDescent="0.3">
      <c r="B260" s="99">
        <v>45635</v>
      </c>
      <c r="C260" s="94">
        <v>630.14</v>
      </c>
      <c r="D260" s="76">
        <f t="shared" si="10"/>
        <v>9.7102935521086158E-3</v>
      </c>
      <c r="F260" s="94">
        <v>24768.3</v>
      </c>
      <c r="G260" s="76">
        <f t="shared" si="11"/>
        <v>3.6672636944946472E-3</v>
      </c>
      <c r="Q260" s="94"/>
      <c r="R260" s="94"/>
      <c r="S260" s="94"/>
      <c r="T260" s="94"/>
      <c r="U260" s="94"/>
      <c r="V260" s="61"/>
    </row>
    <row r="261" spans="2:22" hidden="1" outlineLevel="1" x14ac:dyDescent="0.3">
      <c r="B261" s="99">
        <v>45642</v>
      </c>
      <c r="C261" s="94">
        <v>618.47</v>
      </c>
      <c r="D261" s="76">
        <f t="shared" si="10"/>
        <v>-1.851969403624585E-2</v>
      </c>
      <c r="F261" s="94">
        <v>23587.5</v>
      </c>
      <c r="G261" s="76">
        <f t="shared" si="11"/>
        <v>-4.7673841159869647E-2</v>
      </c>
      <c r="Q261" s="94"/>
      <c r="R261" s="94"/>
      <c r="S261" s="94"/>
      <c r="T261" s="94"/>
      <c r="U261" s="94"/>
      <c r="V261" s="61"/>
    </row>
    <row r="262" spans="2:22" hidden="1" outlineLevel="1" x14ac:dyDescent="0.3">
      <c r="B262" s="99">
        <v>45649</v>
      </c>
      <c r="C262" s="94">
        <v>623.04999999999995</v>
      </c>
      <c r="D262" s="76">
        <f t="shared" si="10"/>
        <v>7.4053713195465056E-3</v>
      </c>
      <c r="F262" s="94">
        <v>23813.4</v>
      </c>
      <c r="G262" s="76">
        <f t="shared" si="11"/>
        <v>9.5771065182830503E-3</v>
      </c>
      <c r="Q262" s="94"/>
      <c r="R262" s="94"/>
      <c r="S262" s="94"/>
      <c r="T262" s="94"/>
      <c r="U262" s="94"/>
      <c r="V262" s="61"/>
    </row>
    <row r="263" spans="2:22" hidden="1" outlineLevel="1" x14ac:dyDescent="0.3">
      <c r="B263" s="99">
        <v>45656</v>
      </c>
      <c r="C263" s="94">
        <v>650.97</v>
      </c>
      <c r="D263" s="76">
        <f t="shared" ref="D263:D294" si="12">(C263-C262)/C262</f>
        <v>4.4811812856111188E-2</v>
      </c>
      <c r="F263" s="94">
        <v>24004.75</v>
      </c>
      <c r="G263" s="76">
        <f t="shared" si="11"/>
        <v>8.0353918382086772E-3</v>
      </c>
      <c r="Q263" s="94"/>
      <c r="R263" s="94"/>
      <c r="S263" s="94"/>
      <c r="T263" s="94"/>
      <c r="U263" s="94"/>
      <c r="V263" s="61"/>
    </row>
    <row r="264" spans="2:22" hidden="1" outlineLevel="1" x14ac:dyDescent="0.3">
      <c r="B264" s="99">
        <v>45663</v>
      </c>
      <c r="C264" s="94">
        <v>663.72</v>
      </c>
      <c r="D264" s="76">
        <f t="shared" si="12"/>
        <v>1.9586156044057328E-2</v>
      </c>
      <c r="F264" s="94">
        <v>23431.5</v>
      </c>
      <c r="G264" s="76">
        <f t="shared" si="11"/>
        <v>-2.3880690280048741E-2</v>
      </c>
      <c r="Q264" s="94"/>
      <c r="R264" s="94"/>
      <c r="S264" s="94"/>
      <c r="T264" s="94"/>
      <c r="U264" s="94"/>
      <c r="V264" s="61"/>
    </row>
    <row r="265" spans="2:22" hidden="1" outlineLevel="1" x14ac:dyDescent="0.3">
      <c r="B265" s="99">
        <v>45670</v>
      </c>
      <c r="C265" s="94">
        <v>654.37</v>
      </c>
      <c r="D265" s="76">
        <f t="shared" si="12"/>
        <v>-1.4087265714457937E-2</v>
      </c>
      <c r="F265" s="94">
        <v>23203.200000000001</v>
      </c>
      <c r="G265" s="76">
        <f t="shared" si="11"/>
        <v>-9.7432942833365031E-3</v>
      </c>
      <c r="Q265" s="94"/>
      <c r="R265" s="94"/>
      <c r="S265" s="94"/>
      <c r="T265" s="94"/>
      <c r="U265" s="94"/>
      <c r="V265" s="61"/>
    </row>
    <row r="266" spans="2:22" hidden="1" outlineLevel="1" x14ac:dyDescent="0.3">
      <c r="B266" s="99">
        <v>45677</v>
      </c>
      <c r="C266" s="94">
        <v>656.14</v>
      </c>
      <c r="D266" s="76">
        <f t="shared" si="12"/>
        <v>2.7048917279214844E-3</v>
      </c>
      <c r="F266" s="94">
        <v>23092.2</v>
      </c>
      <c r="G266" s="76">
        <f t="shared" si="11"/>
        <v>-4.7838229209764167E-3</v>
      </c>
      <c r="Q266" s="94"/>
      <c r="R266" s="94"/>
      <c r="S266" s="94"/>
      <c r="T266" s="94"/>
      <c r="U266" s="94"/>
      <c r="V266" s="61"/>
    </row>
    <row r="267" spans="2:22" hidden="1" outlineLevel="1" x14ac:dyDescent="0.3">
      <c r="B267" s="99">
        <v>45684</v>
      </c>
      <c r="C267" s="94">
        <v>683.72</v>
      </c>
      <c r="D267" s="76">
        <f t="shared" si="12"/>
        <v>4.2033712317493283E-2</v>
      </c>
      <c r="F267" s="94">
        <v>23482.15</v>
      </c>
      <c r="G267" s="76">
        <f t="shared" si="11"/>
        <v>1.6886654368141654E-2</v>
      </c>
      <c r="Q267" s="94"/>
      <c r="R267" s="94"/>
      <c r="S267" s="94"/>
      <c r="T267" s="94"/>
      <c r="U267" s="94"/>
      <c r="V267" s="61"/>
    </row>
    <row r="268" spans="2:22" hidden="1" outlineLevel="1" x14ac:dyDescent="0.3">
      <c r="B268" s="99">
        <v>45691</v>
      </c>
      <c r="C268" s="94">
        <v>639.45000000000005</v>
      </c>
      <c r="D268" s="76">
        <f t="shared" si="12"/>
        <v>-6.4748727549289148E-2</v>
      </c>
      <c r="F268" s="94">
        <v>23559.95</v>
      </c>
      <c r="G268" s="76">
        <f t="shared" si="11"/>
        <v>3.313154885732323E-3</v>
      </c>
      <c r="Q268" s="94"/>
      <c r="R268" s="94"/>
      <c r="S268" s="94"/>
      <c r="T268" s="94"/>
      <c r="U268" s="94"/>
      <c r="V268" s="61"/>
    </row>
    <row r="269" spans="2:22" hidden="1" outlineLevel="1" x14ac:dyDescent="0.3">
      <c r="B269" s="99">
        <v>45698</v>
      </c>
      <c r="C269" s="94">
        <v>627.5</v>
      </c>
      <c r="D269" s="76">
        <f t="shared" si="12"/>
        <v>-1.8687934944092651E-2</v>
      </c>
      <c r="F269" s="94">
        <v>22929.25</v>
      </c>
      <c r="G269" s="76">
        <f t="shared" si="11"/>
        <v>-2.6770005878620315E-2</v>
      </c>
      <c r="Q269" s="94"/>
      <c r="R269" s="94"/>
      <c r="S269" s="94"/>
      <c r="T269" s="94"/>
      <c r="U269" s="94"/>
      <c r="V269" s="61"/>
    </row>
    <row r="270" spans="2:22" hidden="1" outlineLevel="1" x14ac:dyDescent="0.3">
      <c r="B270" s="99">
        <v>45705</v>
      </c>
      <c r="C270" s="94">
        <v>618.64</v>
      </c>
      <c r="D270" s="76">
        <f t="shared" si="12"/>
        <v>-1.411952191235062E-2</v>
      </c>
      <c r="F270" s="94">
        <v>22795.9</v>
      </c>
      <c r="G270" s="76">
        <f t="shared" si="11"/>
        <v>-5.8157157342694828E-3</v>
      </c>
      <c r="Q270" s="94"/>
      <c r="R270" s="94"/>
      <c r="S270" s="94"/>
      <c r="T270" s="94"/>
      <c r="U270" s="94"/>
      <c r="V270" s="61"/>
    </row>
    <row r="271" spans="2:22" hidden="1" outlineLevel="1" x14ac:dyDescent="0.3">
      <c r="B271" s="99">
        <v>45712</v>
      </c>
      <c r="C271" s="94">
        <v>594.67999999999995</v>
      </c>
      <c r="D271" s="76">
        <f t="shared" si="12"/>
        <v>-3.8730117677486159E-2</v>
      </c>
      <c r="F271" s="94">
        <v>22124.7</v>
      </c>
      <c r="G271" s="76">
        <f t="shared" si="11"/>
        <v>-2.9443891226053839E-2</v>
      </c>
      <c r="Q271" s="94"/>
      <c r="R271" s="94"/>
      <c r="S271" s="94"/>
      <c r="T271" s="94"/>
      <c r="U271" s="94"/>
      <c r="V271" s="61"/>
    </row>
    <row r="272" spans="2:22" hidden="1" outlineLevel="1" x14ac:dyDescent="0.3">
      <c r="B272" s="99">
        <v>45719</v>
      </c>
      <c r="C272" s="94">
        <v>603.64</v>
      </c>
      <c r="D272" s="76">
        <f t="shared" si="12"/>
        <v>1.5066926750521351E-2</v>
      </c>
      <c r="F272" s="94">
        <v>22552.5</v>
      </c>
      <c r="G272" s="76">
        <f t="shared" si="11"/>
        <v>1.9335855401429139E-2</v>
      </c>
      <c r="Q272" s="94"/>
      <c r="R272" s="94"/>
      <c r="S272" s="94"/>
      <c r="T272" s="94"/>
      <c r="U272" s="94"/>
      <c r="V272" s="61"/>
    </row>
    <row r="273" spans="2:22" hidden="1" outlineLevel="1" x14ac:dyDescent="0.3">
      <c r="B273" s="99">
        <v>45726</v>
      </c>
      <c r="C273" s="94">
        <v>600.32000000000005</v>
      </c>
      <c r="D273" s="76">
        <f t="shared" si="12"/>
        <v>-5.4999668676693663E-3</v>
      </c>
      <c r="F273" s="94">
        <v>22397.200000000001</v>
      </c>
      <c r="G273" s="76">
        <f t="shared" si="11"/>
        <v>-6.8861545283227703E-3</v>
      </c>
      <c r="Q273" s="94"/>
      <c r="R273" s="94"/>
      <c r="S273" s="94"/>
      <c r="T273" s="94"/>
      <c r="U273" s="94"/>
      <c r="V273" s="61"/>
    </row>
    <row r="274" spans="2:22" hidden="1" outlineLevel="1" x14ac:dyDescent="0.3">
      <c r="B274" s="99">
        <v>45733</v>
      </c>
      <c r="C274" s="94">
        <v>624.58000000000004</v>
      </c>
      <c r="D274" s="76">
        <f t="shared" si="12"/>
        <v>4.0411780383795289E-2</v>
      </c>
      <c r="F274" s="94">
        <v>23350.400000000001</v>
      </c>
      <c r="G274" s="76">
        <f t="shared" si="11"/>
        <v>4.2558891289982706E-2</v>
      </c>
      <c r="Q274" s="94"/>
      <c r="R274" s="94"/>
      <c r="S274" s="94"/>
      <c r="T274" s="94"/>
      <c r="U274" s="94"/>
      <c r="V274" s="61"/>
    </row>
    <row r="275" spans="2:22" hidden="1" outlineLevel="1" x14ac:dyDescent="0.3">
      <c r="B275" s="99">
        <v>45740</v>
      </c>
      <c r="C275" s="94">
        <v>645.22</v>
      </c>
      <c r="D275" s="76">
        <f t="shared" si="12"/>
        <v>3.3046207051138338E-2</v>
      </c>
      <c r="F275" s="94">
        <v>23519.35</v>
      </c>
      <c r="G275" s="76">
        <f t="shared" si="11"/>
        <v>7.2354220912702596E-3</v>
      </c>
      <c r="Q275" s="94"/>
      <c r="R275" s="94"/>
      <c r="S275" s="94"/>
      <c r="T275" s="94"/>
      <c r="U275" s="94"/>
      <c r="V275" s="61"/>
    </row>
    <row r="276" spans="2:22" hidden="1" outlineLevel="1" x14ac:dyDescent="0.3">
      <c r="B276" s="99">
        <v>45747</v>
      </c>
      <c r="C276" s="94">
        <v>670.62</v>
      </c>
      <c r="D276" s="76">
        <f t="shared" si="12"/>
        <v>3.9366417655993267E-2</v>
      </c>
      <c r="F276" s="94">
        <v>22904.45</v>
      </c>
      <c r="G276" s="76">
        <f t="shared" si="11"/>
        <v>-2.614443001188374E-2</v>
      </c>
      <c r="Q276" s="94"/>
      <c r="R276" s="94"/>
      <c r="S276" s="94"/>
      <c r="T276" s="94"/>
      <c r="U276" s="94"/>
      <c r="V276" s="61"/>
    </row>
    <row r="277" spans="2:22" hidden="1" outlineLevel="1" x14ac:dyDescent="0.3">
      <c r="B277" s="99">
        <v>45754</v>
      </c>
      <c r="C277" s="94">
        <v>702.95</v>
      </c>
      <c r="D277" s="76">
        <f t="shared" si="12"/>
        <v>4.8209119918881098E-2</v>
      </c>
      <c r="F277" s="94">
        <v>22828.55</v>
      </c>
      <c r="G277" s="76">
        <f t="shared" si="11"/>
        <v>-3.3137665388167561E-3</v>
      </c>
      <c r="Q277" s="94"/>
      <c r="R277" s="94"/>
      <c r="S277" s="94"/>
      <c r="T277" s="94"/>
      <c r="U277" s="94"/>
      <c r="V277" s="61"/>
    </row>
    <row r="278" spans="2:22" hidden="1" outlineLevel="1" x14ac:dyDescent="0.3">
      <c r="B278" s="99">
        <v>45761</v>
      </c>
      <c r="C278" s="94">
        <v>707.75</v>
      </c>
      <c r="D278" s="76">
        <f t="shared" si="12"/>
        <v>6.8283661711358622E-3</v>
      </c>
      <c r="F278" s="94">
        <v>23851.65</v>
      </c>
      <c r="G278" s="76">
        <f t="shared" si="11"/>
        <v>4.4816687875489342E-2</v>
      </c>
      <c r="Q278" s="94"/>
      <c r="R278" s="94"/>
      <c r="S278" s="94"/>
      <c r="T278" s="94"/>
      <c r="U278" s="94"/>
      <c r="V278" s="61"/>
    </row>
    <row r="279" spans="2:22" hidden="1" outlineLevel="1" x14ac:dyDescent="0.3">
      <c r="B279" s="99">
        <v>45768</v>
      </c>
      <c r="C279" s="94">
        <v>703.39</v>
      </c>
      <c r="D279" s="76">
        <f t="shared" si="12"/>
        <v>-6.1603673613564308E-3</v>
      </c>
      <c r="F279" s="94">
        <v>24039.35</v>
      </c>
      <c r="G279" s="76">
        <f t="shared" si="11"/>
        <v>7.8694765351662085E-3</v>
      </c>
      <c r="Q279" s="94"/>
      <c r="R279" s="94"/>
      <c r="S279" s="94"/>
      <c r="T279" s="94"/>
      <c r="U279" s="94"/>
      <c r="V279" s="61"/>
    </row>
    <row r="280" spans="2:22" hidden="1" outlineLevel="1" x14ac:dyDescent="0.3">
      <c r="B280" s="99">
        <v>45775</v>
      </c>
      <c r="C280" s="94">
        <v>691.91</v>
      </c>
      <c r="D280" s="76">
        <f t="shared" si="12"/>
        <v>-1.6320959922660284E-2</v>
      </c>
      <c r="F280" s="94">
        <v>24346.7</v>
      </c>
      <c r="G280" s="76">
        <f t="shared" si="11"/>
        <v>1.2785287455775726E-2</v>
      </c>
      <c r="Q280" s="94"/>
      <c r="R280" s="94"/>
      <c r="S280" s="94"/>
      <c r="T280" s="94"/>
      <c r="U280" s="94"/>
      <c r="V280" s="61"/>
    </row>
    <row r="281" spans="2:22" hidden="1" outlineLevel="1" x14ac:dyDescent="0.3">
      <c r="B281" s="99">
        <v>45782</v>
      </c>
      <c r="C281" s="94">
        <v>716.17</v>
      </c>
      <c r="D281" s="76">
        <f t="shared" si="12"/>
        <v>3.5062363602202586E-2</v>
      </c>
      <c r="F281" s="94">
        <v>24008</v>
      </c>
      <c r="G281" s="76">
        <f t="shared" si="11"/>
        <v>-1.3911536265695175E-2</v>
      </c>
      <c r="Q281" s="94"/>
      <c r="R281" s="94"/>
      <c r="S281" s="94"/>
      <c r="T281" s="94"/>
      <c r="U281" s="94"/>
      <c r="V281" s="61"/>
    </row>
    <row r="282" spans="2:22" hidden="1" outlineLevel="1" x14ac:dyDescent="0.3">
      <c r="B282" s="99">
        <v>45789</v>
      </c>
      <c r="C282" s="94">
        <v>717.26</v>
      </c>
      <c r="D282" s="76">
        <f t="shared" si="12"/>
        <v>1.5219850035606516E-3</v>
      </c>
      <c r="F282" s="94">
        <v>25019.8</v>
      </c>
      <c r="G282" s="76">
        <f t="shared" si="11"/>
        <v>4.2144285238253885E-2</v>
      </c>
      <c r="Q282" s="94"/>
      <c r="R282" s="94"/>
      <c r="S282" s="94"/>
      <c r="T282" s="94"/>
      <c r="U282" s="94"/>
      <c r="V282" s="61"/>
    </row>
    <row r="283" spans="2:22" hidden="1" outlineLevel="1" x14ac:dyDescent="0.3">
      <c r="B283" s="99">
        <v>45796</v>
      </c>
      <c r="C283" s="94">
        <v>693.94</v>
      </c>
      <c r="D283" s="76">
        <f t="shared" si="12"/>
        <v>-3.2512617460892755E-2</v>
      </c>
      <c r="F283" s="94">
        <v>24853.15</v>
      </c>
      <c r="G283" s="76">
        <f t="shared" si="11"/>
        <v>-6.6607247060327347E-3</v>
      </c>
      <c r="Q283" s="94"/>
      <c r="R283" s="94"/>
      <c r="S283" s="94"/>
      <c r="T283" s="94"/>
      <c r="U283" s="94"/>
      <c r="V283" s="61"/>
    </row>
    <row r="284" spans="2:22" hidden="1" outlineLevel="1" x14ac:dyDescent="0.3">
      <c r="B284" s="99">
        <v>45803</v>
      </c>
      <c r="C284" s="94">
        <v>709.38</v>
      </c>
      <c r="D284" s="76">
        <f t="shared" si="12"/>
        <v>2.2249762227281811E-2</v>
      </c>
      <c r="F284" s="94">
        <v>24750.7</v>
      </c>
      <c r="G284" s="76">
        <f t="shared" si="11"/>
        <v>-4.1222138843567402E-3</v>
      </c>
      <c r="Q284" s="94"/>
      <c r="R284" s="94"/>
      <c r="S284" s="94"/>
      <c r="T284" s="94"/>
      <c r="U284" s="94"/>
      <c r="V284" s="61"/>
    </row>
    <row r="285" spans="2:22" hidden="1" outlineLevel="1" x14ac:dyDescent="0.3">
      <c r="B285" s="99">
        <v>45810</v>
      </c>
      <c r="C285" s="94">
        <v>691.76</v>
      </c>
      <c r="D285" s="76">
        <f t="shared" si="12"/>
        <v>-2.4838591446051488E-2</v>
      </c>
      <c r="F285" s="94">
        <v>25003.05</v>
      </c>
      <c r="G285" s="76">
        <f t="shared" si="11"/>
        <v>1.019567123354081E-2</v>
      </c>
      <c r="Q285" s="94"/>
      <c r="R285" s="94"/>
      <c r="S285" s="94"/>
      <c r="T285" s="94"/>
      <c r="U285" s="94"/>
      <c r="V285" s="61"/>
    </row>
    <row r="286" spans="2:22" hidden="1" outlineLevel="1" x14ac:dyDescent="0.3">
      <c r="B286" s="99">
        <v>45817</v>
      </c>
      <c r="C286" s="94">
        <v>684.38</v>
      </c>
      <c r="D286" s="76">
        <f t="shared" si="12"/>
        <v>-1.0668439921360002E-2</v>
      </c>
      <c r="F286" s="94">
        <v>24718.6</v>
      </c>
      <c r="G286" s="76">
        <f t="shared" si="11"/>
        <v>-1.1376612053329523E-2</v>
      </c>
      <c r="Q286" s="94"/>
      <c r="R286" s="94"/>
      <c r="S286" s="94"/>
      <c r="T286" s="94"/>
      <c r="U286" s="94"/>
      <c r="V286" s="61"/>
    </row>
    <row r="287" spans="2:22" hidden="1" outlineLevel="1" x14ac:dyDescent="0.3">
      <c r="B287" s="99">
        <v>45824</v>
      </c>
      <c r="C287" s="94">
        <v>686.46</v>
      </c>
      <c r="D287" s="76">
        <f t="shared" si="12"/>
        <v>3.0392472018469872E-3</v>
      </c>
      <c r="F287" s="94">
        <v>25112.400000000001</v>
      </c>
      <c r="G287" s="76">
        <f t="shared" si="11"/>
        <v>1.5931322971365812E-2</v>
      </c>
      <c r="Q287" s="94"/>
      <c r="R287" s="94"/>
      <c r="S287" s="94"/>
      <c r="T287" s="94"/>
      <c r="U287" s="94"/>
      <c r="V287" s="61"/>
    </row>
    <row r="288" spans="2:22" hidden="1" outlineLevel="1" x14ac:dyDescent="0.3">
      <c r="B288" s="99">
        <v>45831</v>
      </c>
      <c r="C288" s="94">
        <v>724.43</v>
      </c>
      <c r="D288" s="76">
        <f t="shared" si="12"/>
        <v>5.5312764035777631E-2</v>
      </c>
      <c r="F288" s="94">
        <v>25637.8</v>
      </c>
      <c r="G288" s="76">
        <f t="shared" si="11"/>
        <v>2.0921934980328356E-2</v>
      </c>
      <c r="Q288" s="94"/>
      <c r="R288" s="94"/>
      <c r="S288" s="94"/>
      <c r="T288" s="94"/>
      <c r="U288" s="94"/>
      <c r="V288" s="61"/>
    </row>
    <row r="289" spans="2:22" hidden="1" outlineLevel="1" x14ac:dyDescent="0.3">
      <c r="B289" s="99">
        <v>45838</v>
      </c>
      <c r="C289" s="94">
        <v>721.41</v>
      </c>
      <c r="D289" s="76">
        <f t="shared" si="12"/>
        <v>-4.1687947765829438E-3</v>
      </c>
      <c r="F289" s="94">
        <v>25461</v>
      </c>
      <c r="G289" s="76">
        <f t="shared" si="11"/>
        <v>-6.8960675252946538E-3</v>
      </c>
      <c r="Q289" s="94"/>
      <c r="R289" s="94"/>
      <c r="S289" s="94"/>
      <c r="T289" s="94"/>
      <c r="U289" s="94"/>
      <c r="V289" s="61"/>
    </row>
    <row r="290" spans="2:22" hidden="1" outlineLevel="1" x14ac:dyDescent="0.3">
      <c r="B290" s="99">
        <v>45845</v>
      </c>
      <c r="C290" s="94">
        <v>718.49</v>
      </c>
      <c r="D290" s="76">
        <f t="shared" si="12"/>
        <v>-4.0476289488639737E-3</v>
      </c>
      <c r="F290" s="94">
        <v>25149.85</v>
      </c>
      <c r="G290" s="76">
        <f t="shared" si="11"/>
        <v>-1.2220651192019224E-2</v>
      </c>
      <c r="Q290" s="94"/>
      <c r="R290" s="94"/>
      <c r="S290" s="94"/>
      <c r="T290" s="94"/>
      <c r="U290" s="94"/>
      <c r="V290" s="61"/>
    </row>
    <row r="291" spans="2:22" hidden="1" outlineLevel="1" x14ac:dyDescent="0.3">
      <c r="B291" s="99">
        <v>45852</v>
      </c>
      <c r="C291" s="94">
        <v>713.1</v>
      </c>
      <c r="D291" s="76">
        <f t="shared" si="12"/>
        <v>-7.5018441453603892E-3</v>
      </c>
      <c r="F291" s="94">
        <v>24968.400000000001</v>
      </c>
      <c r="G291" s="76">
        <f t="shared" si="11"/>
        <v>-7.2147547599686317E-3</v>
      </c>
      <c r="Q291" s="94"/>
      <c r="R291" s="94"/>
      <c r="S291" s="94"/>
      <c r="T291" s="94"/>
      <c r="U291" s="94"/>
      <c r="V291" s="61"/>
    </row>
    <row r="292" spans="2:22" hidden="1" outlineLevel="1" x14ac:dyDescent="0.3">
      <c r="B292" s="99">
        <v>45859</v>
      </c>
      <c r="C292" s="94">
        <v>687.11</v>
      </c>
      <c r="D292" s="76">
        <f t="shared" si="12"/>
        <v>-3.6446501191978696E-2</v>
      </c>
      <c r="F292" s="94">
        <v>24837</v>
      </c>
      <c r="G292" s="76">
        <f t="shared" si="11"/>
        <v>-5.2626519921180953E-3</v>
      </c>
      <c r="Q292" s="94"/>
      <c r="R292" s="94"/>
      <c r="S292" s="94"/>
      <c r="T292" s="94"/>
      <c r="U292" s="94"/>
      <c r="V292" s="61"/>
    </row>
    <row r="293" spans="2:22" hidden="1" outlineLevel="1" x14ac:dyDescent="0.3">
      <c r="B293" s="99">
        <v>45866</v>
      </c>
      <c r="C293" s="94">
        <v>704.19</v>
      </c>
      <c r="D293" s="76">
        <f t="shared" si="12"/>
        <v>2.485773748017063E-2</v>
      </c>
      <c r="F293" s="94">
        <v>24565.35</v>
      </c>
      <c r="G293" s="76">
        <f t="shared" si="11"/>
        <v>-1.0937311269477048E-2</v>
      </c>
      <c r="Q293" s="94"/>
      <c r="R293" s="94"/>
      <c r="S293" s="94"/>
      <c r="T293" s="94"/>
      <c r="U293" s="94"/>
      <c r="V293" s="61"/>
    </row>
    <row r="294" spans="2:22" hidden="1" outlineLevel="1" x14ac:dyDescent="0.3">
      <c r="B294" s="99">
        <v>45873</v>
      </c>
      <c r="C294" s="94">
        <v>703.95</v>
      </c>
      <c r="D294" s="76">
        <f t="shared" si="12"/>
        <v>-3.4081710901888565E-4</v>
      </c>
      <c r="F294" s="94">
        <v>24363.3</v>
      </c>
      <c r="G294" s="76">
        <f t="shared" si="11"/>
        <v>-8.224999847345928E-3</v>
      </c>
      <c r="Q294" s="94"/>
      <c r="R294" s="94"/>
      <c r="S294" s="94"/>
      <c r="T294" s="94"/>
      <c r="U294" s="94"/>
      <c r="V294" s="61"/>
    </row>
    <row r="295" spans="2:22" hidden="1" outlineLevel="1" x14ac:dyDescent="0.3">
      <c r="B295" s="99">
        <v>45880</v>
      </c>
      <c r="C295" s="94">
        <v>710.55</v>
      </c>
      <c r="D295" s="76">
        <f t="shared" ref="D295:D326" si="13">(C295-C294)/C294</f>
        <v>9.3756658853610467E-3</v>
      </c>
      <c r="F295" s="94">
        <v>24631.3</v>
      </c>
      <c r="G295" s="76">
        <f t="shared" ref="G295:G335" si="14">(F295-F294)/F294</f>
        <v>1.1000151867768324E-2</v>
      </c>
      <c r="Q295" s="94"/>
      <c r="R295" s="94"/>
      <c r="S295" s="94"/>
      <c r="T295" s="94"/>
      <c r="U295" s="94"/>
      <c r="V295" s="61"/>
    </row>
    <row r="296" spans="2:22" hidden="1" outlineLevel="1" x14ac:dyDescent="0.3">
      <c r="B296" s="99">
        <v>45887</v>
      </c>
      <c r="C296" s="94">
        <v>730.7</v>
      </c>
      <c r="D296" s="76">
        <f t="shared" si="13"/>
        <v>2.835831398212665E-2</v>
      </c>
      <c r="F296" s="94">
        <v>24870.1</v>
      </c>
      <c r="G296" s="76">
        <f t="shared" si="14"/>
        <v>9.6949815884666782E-3</v>
      </c>
      <c r="Q296" s="94"/>
      <c r="R296" s="94"/>
      <c r="S296" s="94"/>
      <c r="T296" s="94"/>
      <c r="U296" s="94"/>
      <c r="V296" s="61"/>
    </row>
    <row r="297" spans="2:22" hidden="1" outlineLevel="1" x14ac:dyDescent="0.3">
      <c r="B297" s="99">
        <v>45894</v>
      </c>
      <c r="C297" s="94">
        <v>725.85</v>
      </c>
      <c r="D297" s="76">
        <f t="shared" si="13"/>
        <v>-6.6374709182975538E-3</v>
      </c>
      <c r="F297" s="94">
        <v>24426.85</v>
      </c>
      <c r="G297" s="76">
        <f t="shared" si="14"/>
        <v>-1.7822606262138069E-2</v>
      </c>
      <c r="Q297" s="94"/>
      <c r="R297" s="94"/>
      <c r="S297" s="94"/>
      <c r="T297" s="94"/>
      <c r="U297" s="94"/>
      <c r="V297" s="61"/>
    </row>
    <row r="298" spans="2:22" hidden="1" outlineLevel="1" x14ac:dyDescent="0.3">
      <c r="B298" s="99">
        <v>45901</v>
      </c>
      <c r="C298" s="94">
        <v>731.7</v>
      </c>
      <c r="D298" s="76">
        <f t="shared" si="13"/>
        <v>8.0595164290142903E-3</v>
      </c>
      <c r="F298" s="94">
        <v>24741</v>
      </c>
      <c r="G298" s="76">
        <f t="shared" si="14"/>
        <v>1.2860847796584557E-2</v>
      </c>
      <c r="Q298" s="94"/>
      <c r="R298" s="94"/>
      <c r="S298" s="94"/>
      <c r="T298" s="94"/>
      <c r="U298" s="94"/>
      <c r="V298" s="61"/>
    </row>
    <row r="299" spans="2:22" hidden="1" outlineLevel="1" x14ac:dyDescent="0.3">
      <c r="B299" s="99">
        <v>45908</v>
      </c>
      <c r="C299" s="94">
        <v>734.55</v>
      </c>
      <c r="D299" s="76">
        <f t="shared" si="13"/>
        <v>3.8950389503893791E-3</v>
      </c>
      <c r="F299" s="94">
        <v>25114</v>
      </c>
      <c r="G299" s="76">
        <f t="shared" si="14"/>
        <v>1.5076189321369386E-2</v>
      </c>
      <c r="Q299" s="94"/>
      <c r="R299" s="94"/>
      <c r="S299" s="94"/>
      <c r="T299" s="94"/>
      <c r="U299" s="94"/>
      <c r="V299" s="61"/>
    </row>
    <row r="300" spans="2:22" hidden="1" outlineLevel="1" x14ac:dyDescent="0.3">
      <c r="B300" s="99">
        <v>45915</v>
      </c>
      <c r="C300" s="94">
        <v>720.15</v>
      </c>
      <c r="D300" s="76">
        <f t="shared" si="13"/>
        <v>-1.9603839085154146E-2</v>
      </c>
      <c r="F300" s="94">
        <v>25327.05</v>
      </c>
      <c r="G300" s="76">
        <f t="shared" si="14"/>
        <v>8.4833160786811843E-3</v>
      </c>
      <c r="Q300" s="94"/>
      <c r="R300" s="94"/>
      <c r="S300" s="94"/>
      <c r="T300" s="94"/>
      <c r="U300" s="94"/>
      <c r="V300" s="61"/>
    </row>
    <row r="301" spans="2:22" hidden="1" outlineLevel="1" x14ac:dyDescent="0.3">
      <c r="B301" s="99">
        <v>45922</v>
      </c>
      <c r="C301" s="94">
        <v>698.35</v>
      </c>
      <c r="D301" s="76">
        <f t="shared" si="13"/>
        <v>-3.0271471221273282E-2</v>
      </c>
      <c r="F301" s="94">
        <v>24654.7</v>
      </c>
      <c r="G301" s="76">
        <f t="shared" si="14"/>
        <v>-2.6546715863079141E-2</v>
      </c>
      <c r="Q301" s="94"/>
      <c r="R301" s="94"/>
      <c r="S301" s="94"/>
      <c r="T301" s="94"/>
      <c r="U301" s="94"/>
      <c r="V301" s="61"/>
    </row>
    <row r="302" spans="2:22" hidden="1" outlineLevel="1" x14ac:dyDescent="0.3">
      <c r="B302" s="99">
        <v>45929</v>
      </c>
      <c r="C302" s="94">
        <v>710.95</v>
      </c>
      <c r="D302" s="76">
        <f t="shared" si="13"/>
        <v>1.8042528817928005E-2</v>
      </c>
      <c r="F302" s="94">
        <v>24894.25</v>
      </c>
      <c r="G302" s="76">
        <f t="shared" si="14"/>
        <v>9.7162001565624101E-3</v>
      </c>
      <c r="Q302" s="94"/>
      <c r="R302" s="94"/>
      <c r="S302" s="94"/>
      <c r="T302" s="94"/>
      <c r="U302" s="94"/>
      <c r="V302" s="61"/>
    </row>
    <row r="303" spans="2:22" hidden="1" outlineLevel="1" x14ac:dyDescent="0.3">
      <c r="B303" s="99">
        <v>45936</v>
      </c>
      <c r="C303" s="94">
        <v>714.3</v>
      </c>
      <c r="D303" s="76">
        <f t="shared" si="13"/>
        <v>4.7120050636471041E-3</v>
      </c>
      <c r="F303" s="94">
        <v>25285.35</v>
      </c>
      <c r="G303" s="76">
        <f t="shared" si="14"/>
        <v>1.5710455225604249E-2</v>
      </c>
      <c r="Q303" s="94"/>
      <c r="R303" s="94"/>
      <c r="S303" s="94"/>
      <c r="T303" s="94"/>
      <c r="U303" s="94"/>
      <c r="V303" s="61"/>
    </row>
    <row r="304" spans="2:22" hidden="1" outlineLevel="1" x14ac:dyDescent="0.3">
      <c r="B304" s="99">
        <v>45943</v>
      </c>
      <c r="C304" s="94">
        <v>735.15</v>
      </c>
      <c r="D304" s="76">
        <f t="shared" si="13"/>
        <v>2.9189416211675801E-2</v>
      </c>
      <c r="F304" s="94">
        <v>25709.85</v>
      </c>
      <c r="G304" s="76">
        <f t="shared" si="14"/>
        <v>1.6788377459675267E-2</v>
      </c>
      <c r="Q304" s="94"/>
      <c r="R304" s="94"/>
      <c r="S304" s="94"/>
      <c r="T304" s="94"/>
      <c r="U304" s="94"/>
      <c r="V304" s="61"/>
    </row>
    <row r="305" spans="2:22" hidden="1" outlineLevel="1" x14ac:dyDescent="0.3">
      <c r="B305" s="99">
        <v>45950</v>
      </c>
      <c r="C305" s="94">
        <v>725.85</v>
      </c>
      <c r="D305" s="76">
        <f t="shared" si="13"/>
        <v>-1.2650479493980758E-2</v>
      </c>
      <c r="F305" s="94">
        <v>25795.15</v>
      </c>
      <c r="G305" s="76">
        <f t="shared" si="14"/>
        <v>3.3177945417807927E-3</v>
      </c>
      <c r="Q305" s="94"/>
      <c r="R305" s="94"/>
      <c r="S305" s="94"/>
      <c r="T305" s="94"/>
      <c r="U305" s="94"/>
      <c r="V305" s="61"/>
    </row>
    <row r="306" spans="2:22" hidden="1" outlineLevel="1" x14ac:dyDescent="0.3">
      <c r="B306" s="99">
        <v>45957</v>
      </c>
      <c r="C306" s="94">
        <v>719.95</v>
      </c>
      <c r="D306" s="76">
        <f t="shared" si="13"/>
        <v>-8.1284011848177691E-3</v>
      </c>
      <c r="F306" s="94">
        <v>25722.1</v>
      </c>
      <c r="G306" s="76">
        <f t="shared" si="14"/>
        <v>-2.8319277073404459E-3</v>
      </c>
      <c r="Q306" s="94"/>
      <c r="R306" s="94"/>
      <c r="S306" s="94"/>
      <c r="T306" s="94"/>
      <c r="U306" s="94"/>
      <c r="V306" s="61"/>
    </row>
    <row r="307" spans="2:22" hidden="1" outlineLevel="1" x14ac:dyDescent="0.3">
      <c r="B307" s="99">
        <v>45964</v>
      </c>
      <c r="C307" s="94">
        <v>711.6</v>
      </c>
      <c r="D307" s="76">
        <f t="shared" si="13"/>
        <v>-1.1598027640808421E-2</v>
      </c>
      <c r="F307" s="94">
        <v>25492.3</v>
      </c>
      <c r="G307" s="76">
        <f t="shared" si="14"/>
        <v>-8.933951737999591E-3</v>
      </c>
      <c r="Q307" s="94"/>
      <c r="R307" s="94"/>
      <c r="S307" s="94"/>
      <c r="T307" s="94"/>
      <c r="U307" s="94"/>
      <c r="V307" s="61"/>
    </row>
    <row r="308" spans="2:22" hidden="1" outlineLevel="1" x14ac:dyDescent="0.3">
      <c r="B308" s="99">
        <v>45971</v>
      </c>
      <c r="C308" s="94">
        <v>738.7</v>
      </c>
      <c r="D308" s="76">
        <f t="shared" si="13"/>
        <v>3.8083192804946632E-2</v>
      </c>
      <c r="F308" s="94">
        <v>25910.05</v>
      </c>
      <c r="G308" s="76">
        <f t="shared" si="14"/>
        <v>1.638730126351879E-2</v>
      </c>
      <c r="Q308" s="94"/>
      <c r="R308" s="94"/>
      <c r="S308" s="94"/>
      <c r="T308" s="94"/>
      <c r="U308" s="94"/>
      <c r="V308" s="61"/>
    </row>
    <row r="309" spans="2:22" hidden="1" outlineLevel="1" x14ac:dyDescent="0.3">
      <c r="B309" s="99">
        <v>45978</v>
      </c>
      <c r="C309" s="94">
        <v>739.9</v>
      </c>
      <c r="D309" s="76">
        <f t="shared" si="13"/>
        <v>1.6244754298090317E-3</v>
      </c>
      <c r="F309" s="94">
        <v>26068.15</v>
      </c>
      <c r="G309" s="76">
        <f t="shared" si="14"/>
        <v>6.1018793865701606E-3</v>
      </c>
      <c r="Q309" s="94"/>
      <c r="R309" s="94"/>
      <c r="S309" s="94"/>
      <c r="T309" s="94"/>
      <c r="U309" s="94"/>
      <c r="V309" s="61"/>
    </row>
    <row r="310" spans="2:22" hidden="1" outlineLevel="1" x14ac:dyDescent="0.3">
      <c r="B310" s="99">
        <v>45985</v>
      </c>
      <c r="C310" s="94">
        <v>717.4</v>
      </c>
      <c r="D310" s="76">
        <f t="shared" si="13"/>
        <v>-3.0409514799297203E-2</v>
      </c>
      <c r="F310" s="94">
        <v>26202.95</v>
      </c>
      <c r="G310" s="76">
        <f t="shared" si="14"/>
        <v>5.1710612375638187E-3</v>
      </c>
      <c r="Q310" s="94"/>
      <c r="R310" s="94"/>
      <c r="S310" s="94"/>
      <c r="T310" s="94"/>
      <c r="U310" s="94"/>
      <c r="V310" s="61"/>
    </row>
    <row r="311" spans="2:22" hidden="1" outlineLevel="1" x14ac:dyDescent="0.3">
      <c r="B311" s="99">
        <v>45992</v>
      </c>
      <c r="C311" s="94">
        <v>736.65</v>
      </c>
      <c r="D311" s="76">
        <f t="shared" si="13"/>
        <v>2.683300808475049E-2</v>
      </c>
      <c r="F311" s="94">
        <v>26186.45</v>
      </c>
      <c r="G311" s="76">
        <f t="shared" si="14"/>
        <v>-6.2970009102028589E-4</v>
      </c>
      <c r="Q311" s="94"/>
      <c r="R311" s="94"/>
      <c r="S311" s="94"/>
      <c r="T311" s="94"/>
      <c r="U311" s="94"/>
      <c r="V311" s="61"/>
    </row>
    <row r="312" spans="2:22" hidden="1" outlineLevel="1" x14ac:dyDescent="0.3">
      <c r="B312" s="99">
        <v>45999</v>
      </c>
      <c r="C312" s="94">
        <v>727.05</v>
      </c>
      <c r="D312" s="76">
        <f t="shared" si="13"/>
        <v>-1.303196904907354E-2</v>
      </c>
      <c r="F312" s="94">
        <v>26046.95</v>
      </c>
      <c r="G312" s="76">
        <f t="shared" si="14"/>
        <v>-5.327182569611383E-3</v>
      </c>
      <c r="Q312" s="94"/>
      <c r="R312" s="94"/>
      <c r="S312" s="94"/>
      <c r="T312" s="94"/>
      <c r="U312" s="94"/>
      <c r="V312" s="61"/>
    </row>
    <row r="313" spans="2:22" hidden="1" outlineLevel="1" x14ac:dyDescent="0.3">
      <c r="B313" s="99">
        <v>46006</v>
      </c>
      <c r="C313" s="94">
        <v>741.2</v>
      </c>
      <c r="D313" s="76">
        <f t="shared" si="13"/>
        <v>1.9462210301905085E-2</v>
      </c>
      <c r="F313" s="94">
        <v>25966.400000000001</v>
      </c>
      <c r="G313" s="76">
        <f t="shared" si="14"/>
        <v>-3.0924925951022774E-3</v>
      </c>
      <c r="Q313" s="94"/>
      <c r="R313" s="94"/>
      <c r="S313" s="94"/>
      <c r="T313" s="94"/>
      <c r="U313" s="94"/>
      <c r="V313" s="61"/>
    </row>
    <row r="314" spans="2:22" hidden="1" outlineLevel="1" x14ac:dyDescent="0.3">
      <c r="B314" s="99">
        <v>46013</v>
      </c>
      <c r="C314" s="94">
        <v>743.3</v>
      </c>
      <c r="D314" s="76">
        <f t="shared" si="13"/>
        <v>2.8332433890986357E-3</v>
      </c>
      <c r="F314" s="94">
        <v>26042.3</v>
      </c>
      <c r="G314" s="76">
        <f t="shared" si="14"/>
        <v>2.9230081952060284E-3</v>
      </c>
      <c r="Q314" s="94"/>
      <c r="R314" s="94"/>
      <c r="S314" s="94"/>
      <c r="T314" s="94"/>
      <c r="U314" s="94"/>
      <c r="V314" s="61"/>
    </row>
    <row r="315" spans="2:22" hidden="1" outlineLevel="1" x14ac:dyDescent="0.3">
      <c r="B315" s="99">
        <v>46020</v>
      </c>
      <c r="C315" s="94">
        <v>757.75</v>
      </c>
      <c r="D315" s="76">
        <f t="shared" si="13"/>
        <v>1.9440333647248818E-2</v>
      </c>
      <c r="F315" s="94">
        <v>26328.55</v>
      </c>
      <c r="G315" s="76">
        <f t="shared" si="14"/>
        <v>1.0991732681061198E-2</v>
      </c>
      <c r="Q315" s="94"/>
      <c r="R315" s="94"/>
      <c r="S315" s="94"/>
      <c r="T315" s="94"/>
      <c r="U315" s="94"/>
      <c r="V315" s="61"/>
    </row>
    <row r="316" spans="2:22" hidden="1" outlineLevel="1" x14ac:dyDescent="0.3">
      <c r="B316" s="99">
        <v>46027</v>
      </c>
      <c r="C316" s="94">
        <v>753.45</v>
      </c>
      <c r="D316" s="76">
        <f t="shared" si="13"/>
        <v>-5.674694820191296E-3</v>
      </c>
      <c r="F316" s="94">
        <v>25683.3</v>
      </c>
      <c r="G316" s="76">
        <f t="shared" si="14"/>
        <v>-2.450761625687704E-2</v>
      </c>
      <c r="Q316" s="94"/>
      <c r="R316" s="94"/>
      <c r="S316" s="94"/>
      <c r="T316" s="94"/>
      <c r="U316" s="94"/>
      <c r="V316" s="61"/>
    </row>
    <row r="317" spans="2:22" hidden="1" outlineLevel="1" x14ac:dyDescent="0.3">
      <c r="B317" s="99">
        <v>46034</v>
      </c>
      <c r="C317" s="94">
        <v>760.15</v>
      </c>
      <c r="D317" s="76">
        <f t="shared" si="13"/>
        <v>8.8924281637798551E-3</v>
      </c>
      <c r="F317" s="94">
        <v>25694.35</v>
      </c>
      <c r="G317" s="76">
        <f t="shared" si="14"/>
        <v>4.3024066222016925E-4</v>
      </c>
      <c r="Q317" s="94"/>
      <c r="R317" s="94"/>
      <c r="S317" s="94"/>
      <c r="T317" s="94"/>
      <c r="U317" s="94"/>
      <c r="V317" s="61"/>
    </row>
    <row r="318" spans="2:22" hidden="1" outlineLevel="1" x14ac:dyDescent="0.3">
      <c r="B318" s="99">
        <v>46041</v>
      </c>
      <c r="C318" s="94">
        <v>740.95</v>
      </c>
      <c r="D318" s="76">
        <f t="shared" si="13"/>
        <v>-2.5258172729066542E-2</v>
      </c>
      <c r="F318" s="94">
        <v>25048.65</v>
      </c>
      <c r="G318" s="76">
        <f t="shared" si="14"/>
        <v>-2.5130038315816401E-2</v>
      </c>
      <c r="Q318" s="94"/>
      <c r="R318" s="94"/>
      <c r="S318" s="94"/>
      <c r="T318" s="94"/>
      <c r="U318" s="94"/>
      <c r="V318" s="61"/>
    </row>
    <row r="319" spans="2:22" hidden="1" outlineLevel="1" x14ac:dyDescent="0.3">
      <c r="B319" s="99">
        <v>46048</v>
      </c>
      <c r="C319" s="94">
        <v>720.65</v>
      </c>
      <c r="D319" s="76">
        <f t="shared" si="13"/>
        <v>-2.7397260273972691E-2</v>
      </c>
      <c r="F319" s="94">
        <v>24825.45</v>
      </c>
      <c r="G319" s="76">
        <f t="shared" si="14"/>
        <v>-8.9106598559204071E-3</v>
      </c>
      <c r="Q319" s="94"/>
      <c r="R319" s="94"/>
      <c r="S319" s="94"/>
      <c r="T319" s="94"/>
      <c r="U319" s="94"/>
      <c r="V319" s="61"/>
    </row>
    <row r="320" spans="2:22" hidden="1" outlineLevel="1" x14ac:dyDescent="0.3">
      <c r="B320" s="99">
        <v>46055</v>
      </c>
      <c r="C320" s="94">
        <v>752.75</v>
      </c>
      <c r="D320" s="76">
        <f t="shared" si="13"/>
        <v>4.4543120793727915E-2</v>
      </c>
      <c r="F320" s="94">
        <v>25693.7</v>
      </c>
      <c r="G320" s="76">
        <f t="shared" si="14"/>
        <v>3.4974189793135671E-2</v>
      </c>
      <c r="Q320" s="94"/>
      <c r="R320" s="94"/>
      <c r="S320" s="94"/>
      <c r="T320" s="94"/>
      <c r="U320" s="94"/>
      <c r="V320" s="61"/>
    </row>
    <row r="321" spans="2:22" hidden="1" outlineLevel="1" x14ac:dyDescent="0.3">
      <c r="B321" s="99">
        <v>46062</v>
      </c>
      <c r="C321" s="94">
        <v>760.15</v>
      </c>
      <c r="D321" s="76">
        <f t="shared" si="13"/>
        <v>9.8306210561275014E-3</v>
      </c>
      <c r="F321" s="94">
        <v>25471.1</v>
      </c>
      <c r="G321" s="76">
        <f t="shared" si="14"/>
        <v>-8.6636023616685088E-3</v>
      </c>
      <c r="Q321" s="94"/>
      <c r="R321" s="94"/>
      <c r="S321" s="94"/>
      <c r="T321" s="94"/>
      <c r="U321" s="94"/>
      <c r="V321" s="61"/>
    </row>
    <row r="322" spans="2:22" hidden="1" outlineLevel="1" x14ac:dyDescent="0.3">
      <c r="B322" s="99">
        <v>46069</v>
      </c>
      <c r="C322" s="94">
        <v>788.2</v>
      </c>
      <c r="D322" s="76">
        <f t="shared" si="13"/>
        <v>3.6900611721370873E-2</v>
      </c>
      <c r="F322" s="94">
        <v>25571.25</v>
      </c>
      <c r="G322" s="76">
        <f t="shared" si="14"/>
        <v>3.93190714181961E-3</v>
      </c>
      <c r="Q322" s="94"/>
      <c r="R322" s="94"/>
      <c r="S322" s="94"/>
      <c r="T322" s="94"/>
      <c r="U322" s="94"/>
      <c r="V322" s="61"/>
    </row>
    <row r="323" spans="2:22" hidden="1" outlineLevel="1" x14ac:dyDescent="0.3">
      <c r="B323" s="99">
        <v>46076</v>
      </c>
      <c r="C323" s="94">
        <v>788.65</v>
      </c>
      <c r="D323" s="76">
        <f t="shared" si="13"/>
        <v>5.7092108601869038E-4</v>
      </c>
      <c r="F323" s="94">
        <v>25178.65</v>
      </c>
      <c r="G323" s="76">
        <f t="shared" si="14"/>
        <v>-1.5353179840641289E-2</v>
      </c>
      <c r="Q323" s="94"/>
      <c r="R323" s="94"/>
      <c r="S323" s="94"/>
      <c r="T323" s="94"/>
      <c r="U323" s="94"/>
      <c r="V323" s="61"/>
    </row>
    <row r="324" spans="2:22" hidden="1" outlineLevel="1" x14ac:dyDescent="0.3">
      <c r="B324" s="99">
        <v>46083</v>
      </c>
      <c r="C324" s="94">
        <v>785.25</v>
      </c>
      <c r="D324" s="76">
        <f t="shared" si="13"/>
        <v>-4.3111646484498539E-3</v>
      </c>
      <c r="F324" s="94">
        <v>24450.45</v>
      </c>
      <c r="G324" s="76">
        <f t="shared" si="14"/>
        <v>-2.8921328188763126E-2</v>
      </c>
      <c r="Q324" s="94"/>
      <c r="R324" s="94"/>
      <c r="S324" s="94"/>
      <c r="T324" s="94"/>
      <c r="U324" s="94"/>
      <c r="V324" s="61"/>
    </row>
    <row r="325" spans="2:22" hidden="1" outlineLevel="1" x14ac:dyDescent="0.3">
      <c r="B325" s="99">
        <v>46090</v>
      </c>
      <c r="C325" s="94">
        <v>752.4</v>
      </c>
      <c r="D325" s="76">
        <f t="shared" si="13"/>
        <v>-4.1833810888252179E-2</v>
      </c>
      <c r="F325" s="94">
        <v>23151.1</v>
      </c>
      <c r="G325" s="76">
        <f t="shared" si="14"/>
        <v>-5.3142171207482977E-2</v>
      </c>
      <c r="Q325" s="94"/>
      <c r="R325" s="94"/>
      <c r="S325" s="94"/>
      <c r="T325" s="94"/>
      <c r="U325" s="94"/>
      <c r="V325" s="61"/>
    </row>
    <row r="326" spans="2:22" hidden="1" outlineLevel="1" x14ac:dyDescent="0.3">
      <c r="B326" s="99">
        <v>46097</v>
      </c>
      <c r="C326" s="94">
        <v>744.3</v>
      </c>
      <c r="D326" s="76">
        <f t="shared" si="13"/>
        <v>-1.076555023923448E-2</v>
      </c>
      <c r="F326" s="94">
        <v>23114.5</v>
      </c>
      <c r="G326" s="76">
        <f t="shared" si="14"/>
        <v>-1.5809184012854052E-3</v>
      </c>
      <c r="Q326" s="94"/>
      <c r="R326" s="94"/>
      <c r="S326" s="94"/>
      <c r="T326" s="94"/>
      <c r="U326" s="94"/>
      <c r="V326" s="61"/>
    </row>
    <row r="327" spans="2:22" hidden="1" outlineLevel="1" x14ac:dyDescent="0.3">
      <c r="B327" s="99">
        <v>46104</v>
      </c>
      <c r="C327" s="94">
        <v>742.45</v>
      </c>
      <c r="D327" s="76">
        <f t="shared" ref="D327:D358" si="15">(C327-C326)/C326</f>
        <v>-2.4855568990997034E-3</v>
      </c>
      <c r="F327" s="94">
        <v>22819.599999999999</v>
      </c>
      <c r="G327" s="76">
        <f t="shared" si="14"/>
        <v>-1.2758225356378093E-2</v>
      </c>
      <c r="Q327" s="94"/>
      <c r="R327" s="94"/>
      <c r="S327" s="94"/>
      <c r="T327" s="94"/>
      <c r="U327" s="94"/>
      <c r="V327" s="61"/>
    </row>
    <row r="328" spans="2:22" hidden="1" outlineLevel="1" x14ac:dyDescent="0.3">
      <c r="B328" s="99">
        <v>46111</v>
      </c>
      <c r="C328" s="94">
        <v>761.35</v>
      </c>
      <c r="D328" s="76">
        <f t="shared" si="15"/>
        <v>2.5456259680786554E-2</v>
      </c>
      <c r="F328" s="94">
        <v>22713.1</v>
      </c>
      <c r="G328" s="76">
        <f t="shared" si="14"/>
        <v>-4.6670406142088382E-3</v>
      </c>
      <c r="Q328" s="94"/>
      <c r="R328" s="94"/>
      <c r="S328" s="94"/>
      <c r="T328" s="94"/>
      <c r="U328" s="94"/>
      <c r="V328" s="61"/>
    </row>
    <row r="329" spans="2:22" hidden="1" outlineLevel="1" x14ac:dyDescent="0.3">
      <c r="B329" s="99">
        <v>46118</v>
      </c>
      <c r="C329" s="94">
        <v>763.25</v>
      </c>
      <c r="D329" s="76">
        <f t="shared" si="15"/>
        <v>2.4955670847835779E-3</v>
      </c>
      <c r="F329" s="94">
        <v>24050.6</v>
      </c>
      <c r="G329" s="76">
        <f t="shared" si="14"/>
        <v>5.8886721759689349E-2</v>
      </c>
      <c r="Q329" s="94"/>
      <c r="R329" s="94"/>
      <c r="S329" s="94"/>
      <c r="T329" s="94"/>
      <c r="U329" s="94"/>
      <c r="V329" s="61"/>
    </row>
    <row r="330" spans="2:22" hidden="1" outlineLevel="1" x14ac:dyDescent="0.3">
      <c r="B330" s="99">
        <v>46125</v>
      </c>
      <c r="C330" s="94">
        <v>757.3</v>
      </c>
      <c r="D330" s="76">
        <f t="shared" si="15"/>
        <v>-7.7956108745496832E-3</v>
      </c>
      <c r="F330" s="94">
        <v>24353.55</v>
      </c>
      <c r="G330" s="76">
        <f t="shared" si="14"/>
        <v>1.2596359342386499E-2</v>
      </c>
      <c r="Q330" s="94"/>
      <c r="R330" s="94"/>
      <c r="S330" s="94"/>
      <c r="T330" s="94"/>
      <c r="U330" s="94"/>
      <c r="V330" s="61"/>
    </row>
    <row r="331" spans="2:22" hidden="1" outlineLevel="1" x14ac:dyDescent="0.3">
      <c r="B331" s="99">
        <v>46132</v>
      </c>
      <c r="C331" s="94">
        <v>783.3</v>
      </c>
      <c r="D331" s="76">
        <f t="shared" si="15"/>
        <v>3.4332497028918531E-2</v>
      </c>
      <c r="F331" s="94">
        <v>23897.95</v>
      </c>
      <c r="G331" s="76">
        <f t="shared" si="14"/>
        <v>-1.8707744866764745E-2</v>
      </c>
      <c r="Q331" s="94"/>
      <c r="R331" s="94"/>
      <c r="S331" s="94"/>
      <c r="T331" s="94"/>
      <c r="U331" s="94"/>
      <c r="V331" s="61"/>
    </row>
    <row r="332" spans="2:22" hidden="1" outlineLevel="1" x14ac:dyDescent="0.3">
      <c r="B332" s="99">
        <v>46139</v>
      </c>
      <c r="C332" s="94">
        <v>775</v>
      </c>
      <c r="D332" s="76">
        <f t="shared" si="15"/>
        <v>-1.05961955827907E-2</v>
      </c>
      <c r="F332" s="94">
        <v>23997.55</v>
      </c>
      <c r="G332" s="76">
        <f t="shared" si="14"/>
        <v>4.1677214991243409E-3</v>
      </c>
      <c r="Q332" s="94"/>
      <c r="R332" s="94"/>
      <c r="S332" s="94"/>
      <c r="T332" s="94"/>
      <c r="U332" s="94"/>
      <c r="V332" s="61"/>
    </row>
    <row r="333" spans="2:22" hidden="1" outlineLevel="1" x14ac:dyDescent="0.3">
      <c r="B333" s="99">
        <v>46146</v>
      </c>
      <c r="C333" s="94">
        <v>831.3</v>
      </c>
      <c r="D333" s="76">
        <f t="shared" si="15"/>
        <v>7.2645161290322516E-2</v>
      </c>
      <c r="F333" s="94">
        <v>24176.15</v>
      </c>
      <c r="G333" s="76">
        <f t="shared" si="14"/>
        <v>7.4424264143632237E-3</v>
      </c>
      <c r="Q333" s="94"/>
      <c r="R333" s="94"/>
      <c r="S333" s="94"/>
      <c r="T333" s="94"/>
      <c r="U333" s="94"/>
      <c r="V333" s="61"/>
    </row>
    <row r="334" spans="2:22" hidden="1" outlineLevel="1" x14ac:dyDescent="0.3">
      <c r="B334" s="99">
        <v>46153</v>
      </c>
      <c r="C334" s="94">
        <v>830</v>
      </c>
      <c r="D334" s="76">
        <f t="shared" si="15"/>
        <v>-1.5638157103331585E-3</v>
      </c>
      <c r="F334" s="94">
        <v>23379.55</v>
      </c>
      <c r="G334" s="76">
        <f t="shared" si="14"/>
        <v>-3.2949828653445735E-2</v>
      </c>
      <c r="Q334" s="94"/>
      <c r="R334" s="94"/>
      <c r="S334" s="94"/>
      <c r="T334" s="94"/>
      <c r="U334" s="94"/>
      <c r="V334" s="61"/>
    </row>
    <row r="335" spans="2:22" hidden="1" outlineLevel="1" x14ac:dyDescent="0.3">
      <c r="B335" s="99">
        <v>46155</v>
      </c>
      <c r="C335" s="94">
        <v>833.4</v>
      </c>
      <c r="D335" s="76">
        <f t="shared" si="15"/>
        <v>4.0963855421686469E-3</v>
      </c>
      <c r="F335" s="94">
        <v>23472.799999999999</v>
      </c>
      <c r="G335" s="76">
        <f t="shared" si="14"/>
        <v>3.9885284361760595E-3</v>
      </c>
      <c r="Q335" s="94"/>
      <c r="R335" s="94"/>
      <c r="S335" s="94"/>
      <c r="T335" s="94"/>
      <c r="U335" s="94"/>
      <c r="V335" s="61"/>
    </row>
    <row r="336" spans="2:22" collapsed="1" x14ac:dyDescent="0.3">
      <c r="Q336" s="94"/>
      <c r="R336" s="94"/>
      <c r="S336" s="94"/>
      <c r="T336" s="94"/>
      <c r="U336" s="94"/>
      <c r="V336" s="61"/>
    </row>
    <row r="337" spans="2:22" x14ac:dyDescent="0.3">
      <c r="B337" s="199" t="s">
        <v>438</v>
      </c>
      <c r="C337" s="199"/>
      <c r="D337" s="199"/>
      <c r="F337" s="199" t="s">
        <v>253</v>
      </c>
      <c r="G337" s="199"/>
      <c r="I337" s="199" t="s">
        <v>252</v>
      </c>
      <c r="J337" s="199"/>
      <c r="Q337" s="94"/>
      <c r="R337" s="94"/>
      <c r="S337" s="94"/>
      <c r="T337" s="94"/>
      <c r="U337" s="94"/>
      <c r="V337" s="61"/>
    </row>
    <row r="338" spans="2:22" x14ac:dyDescent="0.3">
      <c r="Q338" s="94"/>
      <c r="R338" s="94"/>
      <c r="S338" s="94"/>
      <c r="T338" s="94"/>
      <c r="U338" s="94"/>
      <c r="V338" s="61"/>
    </row>
    <row r="339" spans="2:22" hidden="1" outlineLevel="1" x14ac:dyDescent="0.3">
      <c r="B339" s="67" t="s">
        <v>251</v>
      </c>
      <c r="C339" s="98" t="s">
        <v>250</v>
      </c>
      <c r="D339" s="67" t="s">
        <v>249</v>
      </c>
      <c r="F339" s="98" t="s">
        <v>250</v>
      </c>
      <c r="G339" s="67" t="s">
        <v>249</v>
      </c>
      <c r="I339" s="59" t="s">
        <v>248</v>
      </c>
      <c r="J339" s="77">
        <f>M339</f>
        <v>1.0139448586304933</v>
      </c>
      <c r="L339" s="145" t="s">
        <v>247</v>
      </c>
      <c r="M339" s="77">
        <f>SLOPE(D341:D445,G341:G445)</f>
        <v>1.0139448586304933</v>
      </c>
      <c r="Q339" s="94"/>
      <c r="R339" s="94"/>
      <c r="S339" s="94"/>
      <c r="T339" s="94"/>
      <c r="U339" s="94"/>
      <c r="V339" s="61"/>
    </row>
    <row r="340" spans="2:22" hidden="1" outlineLevel="1" x14ac:dyDescent="0.3">
      <c r="B340" s="99">
        <v>45425</v>
      </c>
      <c r="C340" s="94">
        <v>1247.28</v>
      </c>
      <c r="D340" s="97" t="s">
        <v>59</v>
      </c>
      <c r="F340" s="94">
        <v>22466.1</v>
      </c>
      <c r="G340" s="97" t="s">
        <v>59</v>
      </c>
      <c r="I340" s="59" t="s">
        <v>246</v>
      </c>
      <c r="J340" s="60">
        <v>0.75</v>
      </c>
      <c r="L340" s="145" t="s">
        <v>245</v>
      </c>
      <c r="M340" s="77">
        <f>_xlfn.COVARIANCE.S(D341:D445,G341:G445)/_xlfn.VAR.S(G341:G445)</f>
        <v>1.0139448586304929</v>
      </c>
      <c r="Q340" s="94"/>
      <c r="R340" s="94"/>
      <c r="S340" s="94"/>
      <c r="T340" s="94"/>
      <c r="U340" s="94"/>
      <c r="V340" s="61"/>
    </row>
    <row r="341" spans="2:22" hidden="1" outlineLevel="1" x14ac:dyDescent="0.3">
      <c r="B341" s="99">
        <v>45432</v>
      </c>
      <c r="C341" s="94">
        <v>1267.26</v>
      </c>
      <c r="D341" s="76">
        <f t="shared" ref="D341:D404" si="16">(C341-C340)/C340</f>
        <v>1.6018857032903615E-2</v>
      </c>
      <c r="F341" s="94">
        <v>22957.1</v>
      </c>
      <c r="G341" s="76">
        <f t="shared" ref="G341:G404" si="17">(F341-F340)/F340</f>
        <v>2.1855150649200353E-2</v>
      </c>
      <c r="I341" s="59" t="s">
        <v>244</v>
      </c>
      <c r="J341" s="59">
        <v>1</v>
      </c>
      <c r="M341" s="77"/>
      <c r="Q341" s="94"/>
      <c r="R341" s="94"/>
      <c r="S341" s="94"/>
      <c r="T341" s="94"/>
      <c r="U341" s="94"/>
      <c r="V341" s="61"/>
    </row>
    <row r="342" spans="2:22" hidden="1" outlineLevel="1" x14ac:dyDescent="0.3">
      <c r="B342" s="99">
        <v>45439</v>
      </c>
      <c r="C342" s="94">
        <v>1228.57</v>
      </c>
      <c r="D342" s="76">
        <f t="shared" si="16"/>
        <v>-3.0530435743257148E-2</v>
      </c>
      <c r="F342" s="94">
        <v>22530.7</v>
      </c>
      <c r="G342" s="76">
        <f t="shared" si="17"/>
        <v>-1.8573774562117944E-2</v>
      </c>
      <c r="I342" s="59" t="s">
        <v>242</v>
      </c>
      <c r="J342" s="60">
        <v>0.25</v>
      </c>
      <c r="Q342" s="94"/>
      <c r="R342" s="94"/>
      <c r="S342" s="94"/>
      <c r="T342" s="94"/>
      <c r="U342" s="94"/>
      <c r="V342" s="61"/>
    </row>
    <row r="343" spans="2:22" hidden="1" outlineLevel="1" x14ac:dyDescent="0.3">
      <c r="B343" s="99">
        <v>45446</v>
      </c>
      <c r="C343" s="94">
        <v>1380.94</v>
      </c>
      <c r="D343" s="76">
        <f t="shared" si="16"/>
        <v>0.12402223723515968</v>
      </c>
      <c r="F343" s="94">
        <v>23290.15</v>
      </c>
      <c r="G343" s="76">
        <f t="shared" si="17"/>
        <v>3.3707341538434257E-2</v>
      </c>
      <c r="I343" s="96" t="s">
        <v>241</v>
      </c>
      <c r="J343" s="95">
        <f>(J339*J340)+(J341*J342)</f>
        <v>1.01045864397287</v>
      </c>
      <c r="Q343" s="94"/>
      <c r="R343" s="94"/>
      <c r="S343" s="94"/>
      <c r="T343" s="94"/>
      <c r="U343" s="94"/>
      <c r="V343" s="61"/>
    </row>
    <row r="344" spans="2:22" hidden="1" outlineLevel="1" x14ac:dyDescent="0.3">
      <c r="B344" s="99">
        <v>45453</v>
      </c>
      <c r="C344" s="94">
        <v>1347.14</v>
      </c>
      <c r="D344" s="76">
        <f t="shared" si="16"/>
        <v>-2.4476081509696261E-2</v>
      </c>
      <c r="F344" s="94">
        <v>23465.599999999999</v>
      </c>
      <c r="G344" s="76">
        <f t="shared" si="17"/>
        <v>7.5332275661598178E-3</v>
      </c>
      <c r="Q344" s="94"/>
      <c r="R344" s="94"/>
      <c r="S344" s="94"/>
      <c r="T344" s="94"/>
      <c r="U344" s="94"/>
      <c r="V344" s="61"/>
    </row>
    <row r="345" spans="2:22" hidden="1" outlineLevel="1" x14ac:dyDescent="0.3">
      <c r="B345" s="99">
        <v>45460</v>
      </c>
      <c r="C345" s="94">
        <v>1312.23</v>
      </c>
      <c r="D345" s="76">
        <f t="shared" si="16"/>
        <v>-2.5914158884748489E-2</v>
      </c>
      <c r="F345" s="94">
        <v>23501.1</v>
      </c>
      <c r="G345" s="76">
        <f t="shared" si="17"/>
        <v>1.5128528569480432E-3</v>
      </c>
    </row>
    <row r="346" spans="2:22" hidden="1" outlineLevel="1" x14ac:dyDescent="0.3">
      <c r="B346" s="99">
        <v>45467</v>
      </c>
      <c r="C346" s="94">
        <v>1330.6</v>
      </c>
      <c r="D346" s="76">
        <f t="shared" si="16"/>
        <v>1.3999070284934722E-2</v>
      </c>
      <c r="F346" s="94">
        <v>24010.6</v>
      </c>
      <c r="G346" s="76">
        <f t="shared" si="17"/>
        <v>2.1679836262983435E-2</v>
      </c>
    </row>
    <row r="347" spans="2:22" hidden="1" outlineLevel="1" x14ac:dyDescent="0.3">
      <c r="B347" s="99">
        <v>45474</v>
      </c>
      <c r="C347" s="94">
        <v>1328.62</v>
      </c>
      <c r="D347" s="76">
        <f t="shared" si="16"/>
        <v>-1.4880505035322548E-3</v>
      </c>
      <c r="F347" s="94">
        <v>24323.85</v>
      </c>
      <c r="G347" s="76">
        <f t="shared" si="17"/>
        <v>1.3046321208133075E-2</v>
      </c>
    </row>
    <row r="348" spans="2:22" hidden="1" outlineLevel="1" x14ac:dyDescent="0.3">
      <c r="B348" s="99">
        <v>45481</v>
      </c>
      <c r="C348" s="94">
        <v>1396.42</v>
      </c>
      <c r="D348" s="76">
        <f t="shared" si="16"/>
        <v>5.1030392437265877E-2</v>
      </c>
      <c r="F348" s="94">
        <v>24502.15</v>
      </c>
      <c r="G348" s="76">
        <f t="shared" si="17"/>
        <v>7.3302540510652272E-3</v>
      </c>
    </row>
    <row r="349" spans="2:22" hidden="1" outlineLevel="1" x14ac:dyDescent="0.3">
      <c r="B349" s="99">
        <v>45488</v>
      </c>
      <c r="C349" s="94">
        <v>1404.15</v>
      </c>
      <c r="D349" s="76">
        <f t="shared" si="16"/>
        <v>5.5355838501310621E-3</v>
      </c>
      <c r="F349" s="94">
        <v>24530.9</v>
      </c>
      <c r="G349" s="76">
        <f t="shared" si="17"/>
        <v>1.1733664188652831E-3</v>
      </c>
    </row>
    <row r="350" spans="2:22" hidden="1" outlineLevel="1" x14ac:dyDescent="0.3">
      <c r="B350" s="99">
        <v>45495</v>
      </c>
      <c r="C350" s="94">
        <v>1419.24</v>
      </c>
      <c r="D350" s="76">
        <f t="shared" si="16"/>
        <v>1.0746715094541122E-2</v>
      </c>
      <c r="F350" s="94">
        <v>24834.85</v>
      </c>
      <c r="G350" s="76">
        <f t="shared" si="17"/>
        <v>1.2390495252925782E-2</v>
      </c>
    </row>
    <row r="351" spans="2:22" hidden="1" outlineLevel="1" x14ac:dyDescent="0.3">
      <c r="B351" s="99">
        <v>45502</v>
      </c>
      <c r="C351" s="94">
        <v>1411.17</v>
      </c>
      <c r="D351" s="76">
        <f t="shared" si="16"/>
        <v>-5.6861418787519631E-3</v>
      </c>
      <c r="F351" s="94">
        <v>24717.7</v>
      </c>
      <c r="G351" s="76">
        <f t="shared" si="17"/>
        <v>-4.7171615693268861E-3</v>
      </c>
    </row>
    <row r="352" spans="2:22" hidden="1" outlineLevel="1" x14ac:dyDescent="0.3">
      <c r="B352" s="99">
        <v>45509</v>
      </c>
      <c r="C352" s="94">
        <v>1397.29</v>
      </c>
      <c r="D352" s="76">
        <f t="shared" si="16"/>
        <v>-9.8358100016299292E-3</v>
      </c>
      <c r="F352" s="94">
        <v>24367.5</v>
      </c>
      <c r="G352" s="76">
        <f t="shared" si="17"/>
        <v>-1.416798488532512E-2</v>
      </c>
    </row>
    <row r="353" spans="2:7" hidden="1" outlineLevel="1" x14ac:dyDescent="0.3">
      <c r="B353" s="99">
        <v>45516</v>
      </c>
      <c r="C353" s="94">
        <v>1358.84</v>
      </c>
      <c r="D353" s="76">
        <f t="shared" si="16"/>
        <v>-2.7517551832475753E-2</v>
      </c>
      <c r="F353" s="94">
        <v>24541.15</v>
      </c>
      <c r="G353" s="76">
        <f t="shared" si="17"/>
        <v>7.1262952703396512E-3</v>
      </c>
    </row>
    <row r="354" spans="2:7" hidden="1" outlineLevel="1" x14ac:dyDescent="0.3">
      <c r="B354" s="99">
        <v>45523</v>
      </c>
      <c r="C354" s="94">
        <v>1386.43</v>
      </c>
      <c r="D354" s="76">
        <f t="shared" si="16"/>
        <v>2.0304082894233424E-2</v>
      </c>
      <c r="F354" s="94">
        <v>24823.15</v>
      </c>
      <c r="G354" s="76">
        <f t="shared" si="17"/>
        <v>1.1490904052988551E-2</v>
      </c>
    </row>
    <row r="355" spans="2:7" hidden="1" outlineLevel="1" x14ac:dyDescent="0.3">
      <c r="B355" s="99">
        <v>45530</v>
      </c>
      <c r="C355" s="94">
        <v>1437.73</v>
      </c>
      <c r="D355" s="76">
        <f t="shared" si="16"/>
        <v>3.7001507468822768E-2</v>
      </c>
      <c r="F355" s="94">
        <v>25235.9</v>
      </c>
      <c r="G355" s="76">
        <f t="shared" si="17"/>
        <v>1.6627623810837867E-2</v>
      </c>
    </row>
    <row r="356" spans="2:7" hidden="1" outlineLevel="1" x14ac:dyDescent="0.3">
      <c r="B356" s="99">
        <v>45537</v>
      </c>
      <c r="C356" s="94">
        <v>1401.09</v>
      </c>
      <c r="D356" s="76">
        <f t="shared" si="16"/>
        <v>-2.5484618113275858E-2</v>
      </c>
      <c r="F356" s="94">
        <v>24852.15</v>
      </c>
      <c r="G356" s="76">
        <f t="shared" si="17"/>
        <v>-1.5206511358818191E-2</v>
      </c>
    </row>
    <row r="357" spans="2:7" hidden="1" outlineLevel="1" x14ac:dyDescent="0.3">
      <c r="B357" s="99">
        <v>45544</v>
      </c>
      <c r="C357" s="94">
        <v>1447.54</v>
      </c>
      <c r="D357" s="76">
        <f t="shared" si="16"/>
        <v>3.3152759637139692E-2</v>
      </c>
      <c r="F357" s="94">
        <v>25356.5</v>
      </c>
      <c r="G357" s="76">
        <f t="shared" si="17"/>
        <v>2.029401882734486E-2</v>
      </c>
    </row>
    <row r="358" spans="2:7" hidden="1" outlineLevel="1" x14ac:dyDescent="0.3">
      <c r="B358" s="99">
        <v>45551</v>
      </c>
      <c r="C358" s="94">
        <v>1413.86</v>
      </c>
      <c r="D358" s="76">
        <f t="shared" si="16"/>
        <v>-2.3267059977617244E-2</v>
      </c>
      <c r="F358" s="94">
        <v>25790.95</v>
      </c>
      <c r="G358" s="76">
        <f t="shared" si="17"/>
        <v>1.7133673811448771E-2</v>
      </c>
    </row>
    <row r="359" spans="2:7" hidden="1" outlineLevel="1" x14ac:dyDescent="0.3">
      <c r="B359" s="99">
        <v>45558</v>
      </c>
      <c r="C359" s="94">
        <v>1347.9</v>
      </c>
      <c r="D359" s="76">
        <f t="shared" si="16"/>
        <v>-4.6652426690054045E-2</v>
      </c>
      <c r="F359" s="94">
        <v>26178.95</v>
      </c>
      <c r="G359" s="76">
        <f t="shared" si="17"/>
        <v>1.5044036764834175E-2</v>
      </c>
    </row>
    <row r="360" spans="2:7" hidden="1" outlineLevel="1" x14ac:dyDescent="0.3">
      <c r="B360" s="99">
        <v>45565</v>
      </c>
      <c r="C360" s="94">
        <v>1303.83</v>
      </c>
      <c r="D360" s="76">
        <f t="shared" si="16"/>
        <v>-3.2695303805920437E-2</v>
      </c>
      <c r="F360" s="94">
        <v>25014.6</v>
      </c>
      <c r="G360" s="76">
        <f t="shared" si="17"/>
        <v>-4.4476573735768708E-2</v>
      </c>
    </row>
    <row r="361" spans="2:7" hidden="1" outlineLevel="1" x14ac:dyDescent="0.3">
      <c r="B361" s="99">
        <v>45572</v>
      </c>
      <c r="C361" s="94">
        <v>1277.0899999999999</v>
      </c>
      <c r="D361" s="76">
        <f t="shared" si="16"/>
        <v>-2.0508808663706166E-2</v>
      </c>
      <c r="F361" s="94">
        <v>24964.25</v>
      </c>
      <c r="G361" s="76">
        <f t="shared" si="17"/>
        <v>-2.012824510485818E-3</v>
      </c>
    </row>
    <row r="362" spans="2:7" hidden="1" outlineLevel="1" x14ac:dyDescent="0.3">
      <c r="B362" s="99">
        <v>45579</v>
      </c>
      <c r="C362" s="94">
        <v>1296.94</v>
      </c>
      <c r="D362" s="76">
        <f t="shared" si="16"/>
        <v>1.5543148877526359E-2</v>
      </c>
      <c r="F362" s="94">
        <v>24854.05</v>
      </c>
      <c r="G362" s="76">
        <f t="shared" si="17"/>
        <v>-4.4143124668275923E-3</v>
      </c>
    </row>
    <row r="363" spans="2:7" hidden="1" outlineLevel="1" x14ac:dyDescent="0.3">
      <c r="B363" s="99">
        <v>45586</v>
      </c>
      <c r="C363" s="94">
        <v>1253.3599999999999</v>
      </c>
      <c r="D363" s="76">
        <f t="shared" si="16"/>
        <v>-3.3602171264669259E-2</v>
      </c>
      <c r="F363" s="94">
        <v>24180.799999999999</v>
      </c>
      <c r="G363" s="76">
        <f t="shared" si="17"/>
        <v>-2.7088140564616229E-2</v>
      </c>
    </row>
    <row r="364" spans="2:7" hidden="1" outlineLevel="1" x14ac:dyDescent="0.3">
      <c r="B364" s="99">
        <v>45593</v>
      </c>
      <c r="C364" s="94">
        <v>1237.68</v>
      </c>
      <c r="D364" s="76">
        <f t="shared" si="16"/>
        <v>-1.2510372119742003E-2</v>
      </c>
      <c r="F364" s="94">
        <v>24304.35</v>
      </c>
      <c r="G364" s="76">
        <f t="shared" si="17"/>
        <v>5.1094256600277606E-3</v>
      </c>
    </row>
    <row r="365" spans="2:7" hidden="1" outlineLevel="1" x14ac:dyDescent="0.3">
      <c r="B365" s="99">
        <v>45600</v>
      </c>
      <c r="C365" s="94">
        <v>1219.03</v>
      </c>
      <c r="D365" s="76">
        <f t="shared" si="16"/>
        <v>-1.5068515286665446E-2</v>
      </c>
      <c r="F365" s="94">
        <v>24148.2</v>
      </c>
      <c r="G365" s="76">
        <f t="shared" si="17"/>
        <v>-6.424775811737316E-3</v>
      </c>
    </row>
    <row r="366" spans="2:7" hidden="1" outlineLevel="1" x14ac:dyDescent="0.3">
      <c r="B366" s="99">
        <v>45607</v>
      </c>
      <c r="C366" s="94">
        <v>1145.02</v>
      </c>
      <c r="D366" s="76">
        <f t="shared" si="16"/>
        <v>-6.0712205606096643E-2</v>
      </c>
      <c r="F366" s="94">
        <v>23532.7</v>
      </c>
      <c r="G366" s="76">
        <f t="shared" si="17"/>
        <v>-2.5488442202731467E-2</v>
      </c>
    </row>
    <row r="367" spans="2:7" hidden="1" outlineLevel="1" x14ac:dyDescent="0.3">
      <c r="B367" s="99">
        <v>45614</v>
      </c>
      <c r="C367" s="94">
        <v>1161.78</v>
      </c>
      <c r="D367" s="76">
        <f t="shared" si="16"/>
        <v>1.4637298911809394E-2</v>
      </c>
      <c r="F367" s="94">
        <v>23907.25</v>
      </c>
      <c r="G367" s="76">
        <f t="shared" si="17"/>
        <v>1.5916150717937137E-2</v>
      </c>
    </row>
    <row r="368" spans="2:7" hidden="1" outlineLevel="1" x14ac:dyDescent="0.3">
      <c r="B368" s="99">
        <v>45621</v>
      </c>
      <c r="C368" s="94">
        <v>1212.79</v>
      </c>
      <c r="D368" s="76">
        <f t="shared" si="16"/>
        <v>4.3906763759059365E-2</v>
      </c>
      <c r="F368" s="94">
        <v>24131.1</v>
      </c>
      <c r="G368" s="76">
        <f t="shared" si="17"/>
        <v>9.3632684645870417E-3</v>
      </c>
    </row>
    <row r="369" spans="2:7" hidden="1" outlineLevel="1" x14ac:dyDescent="0.3">
      <c r="B369" s="99">
        <v>45628</v>
      </c>
      <c r="C369" s="94">
        <v>1203.82</v>
      </c>
      <c r="D369" s="76">
        <f t="shared" si="16"/>
        <v>-7.3961691636639714E-3</v>
      </c>
      <c r="F369" s="94">
        <v>24677.8</v>
      </c>
      <c r="G369" s="76">
        <f t="shared" si="17"/>
        <v>2.265541148144928E-2</v>
      </c>
    </row>
    <row r="370" spans="2:7" hidden="1" outlineLevel="1" x14ac:dyDescent="0.3">
      <c r="B370" s="99">
        <v>45635</v>
      </c>
      <c r="C370" s="94">
        <v>1083</v>
      </c>
      <c r="D370" s="76">
        <f t="shared" si="16"/>
        <v>-0.1003638417703643</v>
      </c>
      <c r="F370" s="94">
        <v>24768.3</v>
      </c>
      <c r="G370" s="76">
        <f t="shared" si="17"/>
        <v>3.6672636944946472E-3</v>
      </c>
    </row>
    <row r="371" spans="2:7" hidden="1" outlineLevel="1" x14ac:dyDescent="0.3">
      <c r="B371" s="99">
        <v>45642</v>
      </c>
      <c r="C371" s="94">
        <v>1042.22</v>
      </c>
      <c r="D371" s="76">
        <f t="shared" si="16"/>
        <v>-3.7654662973222508E-2</v>
      </c>
      <c r="F371" s="94">
        <v>23587.5</v>
      </c>
      <c r="G371" s="76">
        <f t="shared" si="17"/>
        <v>-4.7673841159869647E-2</v>
      </c>
    </row>
    <row r="372" spans="2:7" hidden="1" outlineLevel="1" x14ac:dyDescent="0.3">
      <c r="B372" s="99">
        <v>45649</v>
      </c>
      <c r="C372" s="94">
        <v>1040.47</v>
      </c>
      <c r="D372" s="76">
        <f t="shared" si="16"/>
        <v>-1.6791080577996968E-3</v>
      </c>
      <c r="F372" s="94">
        <v>23813.4</v>
      </c>
      <c r="G372" s="76">
        <f t="shared" si="17"/>
        <v>9.5771065182830503E-3</v>
      </c>
    </row>
    <row r="373" spans="2:7" hidden="1" outlineLevel="1" x14ac:dyDescent="0.3">
      <c r="B373" s="99">
        <v>45656</v>
      </c>
      <c r="C373" s="94">
        <v>1088.07</v>
      </c>
      <c r="D373" s="76">
        <f t="shared" si="16"/>
        <v>4.5748555941065007E-2</v>
      </c>
      <c r="F373" s="94">
        <v>24004.75</v>
      </c>
      <c r="G373" s="76">
        <f t="shared" si="17"/>
        <v>8.0353918382086772E-3</v>
      </c>
    </row>
    <row r="374" spans="2:7" hidden="1" outlineLevel="1" x14ac:dyDescent="0.3">
      <c r="B374" s="99">
        <v>45663</v>
      </c>
      <c r="C374" s="94">
        <v>1144.24</v>
      </c>
      <c r="D374" s="76">
        <f t="shared" si="16"/>
        <v>5.1623516869319139E-2</v>
      </c>
      <c r="F374" s="94">
        <v>23431.5</v>
      </c>
      <c r="G374" s="76">
        <f t="shared" si="17"/>
        <v>-2.3880690280048741E-2</v>
      </c>
    </row>
    <row r="375" spans="2:7" hidden="1" outlineLevel="1" x14ac:dyDescent="0.3">
      <c r="B375" s="99">
        <v>45670</v>
      </c>
      <c r="C375" s="94">
        <v>1157.3499999999999</v>
      </c>
      <c r="D375" s="76">
        <f t="shared" si="16"/>
        <v>1.1457386562259579E-2</v>
      </c>
      <c r="F375" s="94">
        <v>23203.200000000001</v>
      </c>
      <c r="G375" s="76">
        <f t="shared" si="17"/>
        <v>-9.7432942833365031E-3</v>
      </c>
    </row>
    <row r="376" spans="2:7" hidden="1" outlineLevel="1" x14ac:dyDescent="0.3">
      <c r="B376" s="99">
        <v>45677</v>
      </c>
      <c r="C376" s="94">
        <v>1101.42</v>
      </c>
      <c r="D376" s="76">
        <f t="shared" si="16"/>
        <v>-4.8325916965481351E-2</v>
      </c>
      <c r="F376" s="94">
        <v>23092.2</v>
      </c>
      <c r="G376" s="76">
        <f t="shared" si="17"/>
        <v>-4.7838229209764167E-3</v>
      </c>
    </row>
    <row r="377" spans="2:7" hidden="1" outlineLevel="1" x14ac:dyDescent="0.3">
      <c r="B377" s="99">
        <v>45684</v>
      </c>
      <c r="C377" s="94">
        <v>1161.19</v>
      </c>
      <c r="D377" s="76">
        <f t="shared" si="16"/>
        <v>5.4266310762470245E-2</v>
      </c>
      <c r="F377" s="94">
        <v>23482.15</v>
      </c>
      <c r="G377" s="76">
        <f t="shared" si="17"/>
        <v>1.6886654368141654E-2</v>
      </c>
    </row>
    <row r="378" spans="2:7" hidden="1" outlineLevel="1" x14ac:dyDescent="0.3">
      <c r="B378" s="99">
        <v>45691</v>
      </c>
      <c r="C378" s="94">
        <v>1078.42</v>
      </c>
      <c r="D378" s="76">
        <f t="shared" si="16"/>
        <v>-7.1280324494699385E-2</v>
      </c>
      <c r="F378" s="94">
        <v>23559.95</v>
      </c>
      <c r="G378" s="76">
        <f t="shared" si="17"/>
        <v>3.313154885732323E-3</v>
      </c>
    </row>
    <row r="379" spans="2:7" hidden="1" outlineLevel="1" x14ac:dyDescent="0.3">
      <c r="B379" s="99">
        <v>45698</v>
      </c>
      <c r="C379" s="94">
        <v>1036.1400000000001</v>
      </c>
      <c r="D379" s="76">
        <f t="shared" si="16"/>
        <v>-3.9205504348954923E-2</v>
      </c>
      <c r="F379" s="94">
        <v>22929.25</v>
      </c>
      <c r="G379" s="76">
        <f t="shared" si="17"/>
        <v>-2.6770005878620315E-2</v>
      </c>
    </row>
    <row r="380" spans="2:7" hidden="1" outlineLevel="1" x14ac:dyDescent="0.3">
      <c r="B380" s="99">
        <v>45705</v>
      </c>
      <c r="C380" s="94">
        <v>1029.5899999999999</v>
      </c>
      <c r="D380" s="76">
        <f t="shared" si="16"/>
        <v>-6.3215395602912554E-3</v>
      </c>
      <c r="F380" s="94">
        <v>22795.9</v>
      </c>
      <c r="G380" s="76">
        <f t="shared" si="17"/>
        <v>-5.8157157342694828E-3</v>
      </c>
    </row>
    <row r="381" spans="2:7" hidden="1" outlineLevel="1" x14ac:dyDescent="0.3">
      <c r="B381" s="99">
        <v>45712</v>
      </c>
      <c r="C381" s="59">
        <v>983.55</v>
      </c>
      <c r="D381" s="76">
        <f t="shared" si="16"/>
        <v>-4.4716829029030944E-2</v>
      </c>
      <c r="F381" s="94">
        <v>22124.7</v>
      </c>
      <c r="G381" s="76">
        <f t="shared" si="17"/>
        <v>-2.9443891226053839E-2</v>
      </c>
    </row>
    <row r="382" spans="2:7" hidden="1" outlineLevel="1" x14ac:dyDescent="0.3">
      <c r="B382" s="99">
        <v>45719</v>
      </c>
      <c r="C382" s="94">
        <v>1022.83</v>
      </c>
      <c r="D382" s="76">
        <f t="shared" si="16"/>
        <v>3.9936963042041675E-2</v>
      </c>
      <c r="F382" s="94">
        <v>22552.5</v>
      </c>
      <c r="G382" s="76">
        <f t="shared" si="17"/>
        <v>1.9335855401429139E-2</v>
      </c>
    </row>
    <row r="383" spans="2:7" hidden="1" outlineLevel="1" x14ac:dyDescent="0.3">
      <c r="B383" s="99">
        <v>45726</v>
      </c>
      <c r="C383" s="94">
        <v>1003.75</v>
      </c>
      <c r="D383" s="76">
        <f t="shared" si="16"/>
        <v>-1.8654126296647575E-2</v>
      </c>
      <c r="F383" s="94">
        <v>22397.200000000001</v>
      </c>
      <c r="G383" s="76">
        <f t="shared" si="17"/>
        <v>-6.8861545283227703E-3</v>
      </c>
    </row>
    <row r="384" spans="2:7" hidden="1" outlineLevel="1" x14ac:dyDescent="0.3">
      <c r="B384" s="99">
        <v>45733</v>
      </c>
      <c r="C384" s="94">
        <v>1088.05</v>
      </c>
      <c r="D384" s="76">
        <f t="shared" si="16"/>
        <v>8.3985056039850514E-2</v>
      </c>
      <c r="F384" s="94">
        <v>23350.400000000001</v>
      </c>
      <c r="G384" s="76">
        <f t="shared" si="17"/>
        <v>4.2558891289982706E-2</v>
      </c>
    </row>
    <row r="385" spans="2:7" hidden="1" outlineLevel="1" x14ac:dyDescent="0.3">
      <c r="B385" s="99">
        <v>45740</v>
      </c>
      <c r="C385" s="94">
        <v>1134.33</v>
      </c>
      <c r="D385" s="76">
        <f t="shared" si="16"/>
        <v>4.2534809981158932E-2</v>
      </c>
      <c r="F385" s="94">
        <v>23519.35</v>
      </c>
      <c r="G385" s="76">
        <f t="shared" si="17"/>
        <v>7.2354220912702596E-3</v>
      </c>
    </row>
    <row r="386" spans="2:7" hidden="1" outlineLevel="1" x14ac:dyDescent="0.3">
      <c r="B386" s="99">
        <v>45747</v>
      </c>
      <c r="C386" s="94">
        <v>1131.74</v>
      </c>
      <c r="D386" s="76">
        <f t="shared" si="16"/>
        <v>-2.2832861689278416E-3</v>
      </c>
      <c r="F386" s="94">
        <v>22904.45</v>
      </c>
      <c r="G386" s="76">
        <f t="shared" si="17"/>
        <v>-2.614443001188374E-2</v>
      </c>
    </row>
    <row r="387" spans="2:7" hidden="1" outlineLevel="1" x14ac:dyDescent="0.3">
      <c r="B387" s="99">
        <v>45754</v>
      </c>
      <c r="C387" s="94">
        <v>1197.3</v>
      </c>
      <c r="D387" s="76">
        <f t="shared" si="16"/>
        <v>5.7928499478678799E-2</v>
      </c>
      <c r="F387" s="94">
        <v>22828.55</v>
      </c>
      <c r="G387" s="76">
        <f t="shared" si="17"/>
        <v>-3.3137665388167561E-3</v>
      </c>
    </row>
    <row r="388" spans="2:7" hidden="1" outlineLevel="1" x14ac:dyDescent="0.3">
      <c r="B388" s="99">
        <v>45761</v>
      </c>
      <c r="C388" s="94">
        <v>1212.6600000000001</v>
      </c>
      <c r="D388" s="76">
        <f t="shared" si="16"/>
        <v>1.2828864946128896E-2</v>
      </c>
      <c r="F388" s="94">
        <v>23851.65</v>
      </c>
      <c r="G388" s="76">
        <f t="shared" si="17"/>
        <v>4.4816687875489342E-2</v>
      </c>
    </row>
    <row r="389" spans="2:7" hidden="1" outlineLevel="1" x14ac:dyDescent="0.3">
      <c r="B389" s="99">
        <v>45768</v>
      </c>
      <c r="C389" s="94">
        <v>1239.28</v>
      </c>
      <c r="D389" s="76">
        <f t="shared" si="16"/>
        <v>2.195174245048067E-2</v>
      </c>
      <c r="F389" s="94">
        <v>24039.35</v>
      </c>
      <c r="G389" s="76">
        <f t="shared" si="17"/>
        <v>7.8694765351662085E-3</v>
      </c>
    </row>
    <row r="390" spans="2:7" hidden="1" outlineLevel="1" x14ac:dyDescent="0.3">
      <c r="B390" s="99">
        <v>45775</v>
      </c>
      <c r="C390" s="94">
        <v>1231.45</v>
      </c>
      <c r="D390" s="76">
        <f t="shared" si="16"/>
        <v>-6.3181847524368404E-3</v>
      </c>
      <c r="F390" s="94">
        <v>24346.7</v>
      </c>
      <c r="G390" s="76">
        <f t="shared" si="17"/>
        <v>1.2785287455775726E-2</v>
      </c>
    </row>
    <row r="391" spans="2:7" hidden="1" outlineLevel="1" x14ac:dyDescent="0.3">
      <c r="B391" s="99">
        <v>45782</v>
      </c>
      <c r="C391" s="94">
        <v>1215.4000000000001</v>
      </c>
      <c r="D391" s="76">
        <f t="shared" si="16"/>
        <v>-1.3033415891834791E-2</v>
      </c>
      <c r="F391" s="94">
        <v>24008</v>
      </c>
      <c r="G391" s="76">
        <f t="shared" si="17"/>
        <v>-1.3911536265695175E-2</v>
      </c>
    </row>
    <row r="392" spans="2:7" hidden="1" outlineLevel="1" x14ac:dyDescent="0.3">
      <c r="B392" s="99">
        <v>45789</v>
      </c>
      <c r="C392" s="94">
        <v>1271.57</v>
      </c>
      <c r="D392" s="76">
        <f t="shared" si="16"/>
        <v>4.6215237781800103E-2</v>
      </c>
      <c r="F392" s="94">
        <v>25019.8</v>
      </c>
      <c r="G392" s="76">
        <f t="shared" si="17"/>
        <v>4.2144285238253885E-2</v>
      </c>
    </row>
    <row r="393" spans="2:7" hidden="1" outlineLevel="1" x14ac:dyDescent="0.3">
      <c r="B393" s="99">
        <v>45796</v>
      </c>
      <c r="C393" s="94">
        <v>1254.81</v>
      </c>
      <c r="D393" s="76">
        <f t="shared" si="16"/>
        <v>-1.3180556320139663E-2</v>
      </c>
      <c r="F393" s="94">
        <v>24853.15</v>
      </c>
      <c r="G393" s="76">
        <f t="shared" si="17"/>
        <v>-6.6607247060327347E-3</v>
      </c>
    </row>
    <row r="394" spans="2:7" hidden="1" outlineLevel="1" x14ac:dyDescent="0.3">
      <c r="B394" s="99">
        <v>45803</v>
      </c>
      <c r="C394" s="94">
        <v>1209.6199999999999</v>
      </c>
      <c r="D394" s="76">
        <f t="shared" si="16"/>
        <v>-3.6013420358460689E-2</v>
      </c>
      <c r="F394" s="94">
        <v>24750.7</v>
      </c>
      <c r="G394" s="76">
        <f t="shared" si="17"/>
        <v>-4.1222138843567402E-3</v>
      </c>
    </row>
    <row r="395" spans="2:7" hidden="1" outlineLevel="1" x14ac:dyDescent="0.3">
      <c r="B395" s="99">
        <v>45810</v>
      </c>
      <c r="C395" s="94">
        <v>1188.7</v>
      </c>
      <c r="D395" s="76">
        <f t="shared" si="16"/>
        <v>-1.7294687587837376E-2</v>
      </c>
      <c r="F395" s="94">
        <v>25003.05</v>
      </c>
      <c r="G395" s="76">
        <f t="shared" si="17"/>
        <v>1.019567123354081E-2</v>
      </c>
    </row>
    <row r="396" spans="2:7" hidden="1" outlineLevel="1" x14ac:dyDescent="0.3">
      <c r="B396" s="99">
        <v>45817</v>
      </c>
      <c r="C396" s="94">
        <v>1167.78</v>
      </c>
      <c r="D396" s="76">
        <f t="shared" si="16"/>
        <v>-1.7599057794229052E-2</v>
      </c>
      <c r="F396" s="94">
        <v>24718.6</v>
      </c>
      <c r="G396" s="76">
        <f t="shared" si="17"/>
        <v>-1.1376612053329523E-2</v>
      </c>
    </row>
    <row r="397" spans="2:7" hidden="1" outlineLevel="1" x14ac:dyDescent="0.3">
      <c r="B397" s="99">
        <v>45824</v>
      </c>
      <c r="C397" s="94">
        <v>1168.3699999999999</v>
      </c>
      <c r="D397" s="76">
        <f t="shared" si="16"/>
        <v>5.0523214989117661E-4</v>
      </c>
      <c r="F397" s="94">
        <v>25112.400000000001</v>
      </c>
      <c r="G397" s="76">
        <f t="shared" si="17"/>
        <v>1.5931322971365812E-2</v>
      </c>
    </row>
    <row r="398" spans="2:7" hidden="1" outlineLevel="1" x14ac:dyDescent="0.3">
      <c r="B398" s="99">
        <v>45831</v>
      </c>
      <c r="C398" s="94">
        <v>1155.5999999999999</v>
      </c>
      <c r="D398" s="76">
        <f t="shared" si="16"/>
        <v>-1.092975684072681E-2</v>
      </c>
      <c r="F398" s="94">
        <v>25637.8</v>
      </c>
      <c r="G398" s="76">
        <f t="shared" si="17"/>
        <v>2.0921934980328356E-2</v>
      </c>
    </row>
    <row r="399" spans="2:7" hidden="1" outlineLevel="1" x14ac:dyDescent="0.3">
      <c r="B399" s="99">
        <v>45838</v>
      </c>
      <c r="C399" s="94">
        <v>1171.81</v>
      </c>
      <c r="D399" s="76">
        <f t="shared" si="16"/>
        <v>1.4027345102111489E-2</v>
      </c>
      <c r="F399" s="94">
        <v>25461</v>
      </c>
      <c r="G399" s="76">
        <f t="shared" si="17"/>
        <v>-6.8960675252946538E-3</v>
      </c>
    </row>
    <row r="400" spans="2:7" hidden="1" outlineLevel="1" x14ac:dyDescent="0.3">
      <c r="B400" s="99">
        <v>45845</v>
      </c>
      <c r="C400" s="94">
        <v>1262.28</v>
      </c>
      <c r="D400" s="76">
        <f t="shared" si="16"/>
        <v>7.7205348990024E-2</v>
      </c>
      <c r="F400" s="94">
        <v>25149.85</v>
      </c>
      <c r="G400" s="76">
        <f t="shared" si="17"/>
        <v>-1.2220651192019224E-2</v>
      </c>
    </row>
    <row r="401" spans="2:7" hidden="1" outlineLevel="1" x14ac:dyDescent="0.3">
      <c r="B401" s="99">
        <v>45852</v>
      </c>
      <c r="C401" s="94">
        <v>1229.17</v>
      </c>
      <c r="D401" s="76">
        <f t="shared" si="16"/>
        <v>-2.6230313401147051E-2</v>
      </c>
      <c r="F401" s="94">
        <v>24968.400000000001</v>
      </c>
      <c r="G401" s="76">
        <f t="shared" si="17"/>
        <v>-7.2147547599686317E-3</v>
      </c>
    </row>
    <row r="402" spans="2:7" hidden="1" outlineLevel="1" x14ac:dyDescent="0.3">
      <c r="B402" s="99">
        <v>45859</v>
      </c>
      <c r="C402" s="94">
        <v>1195.58</v>
      </c>
      <c r="D402" s="76">
        <f t="shared" si="16"/>
        <v>-2.7327383518960066E-2</v>
      </c>
      <c r="F402" s="94">
        <v>24837</v>
      </c>
      <c r="G402" s="76">
        <f t="shared" si="17"/>
        <v>-5.2626519921180953E-3</v>
      </c>
    </row>
    <row r="403" spans="2:7" hidden="1" outlineLevel="1" x14ac:dyDescent="0.3">
      <c r="B403" s="99">
        <v>45866</v>
      </c>
      <c r="C403" s="94">
        <v>1244.0999999999999</v>
      </c>
      <c r="D403" s="76">
        <f t="shared" si="16"/>
        <v>4.0582813362552053E-2</v>
      </c>
      <c r="F403" s="94">
        <v>24565.35</v>
      </c>
      <c r="G403" s="76">
        <f t="shared" si="17"/>
        <v>-1.0937311269477048E-2</v>
      </c>
    </row>
    <row r="404" spans="2:7" hidden="1" outlineLevel="1" x14ac:dyDescent="0.3">
      <c r="B404" s="99">
        <v>45873</v>
      </c>
      <c r="C404" s="94">
        <v>1165.1300000000001</v>
      </c>
      <c r="D404" s="76">
        <f t="shared" si="16"/>
        <v>-6.3475604854915046E-2</v>
      </c>
      <c r="F404" s="94">
        <v>24363.3</v>
      </c>
      <c r="G404" s="76">
        <f t="shared" si="17"/>
        <v>-8.224999847345928E-3</v>
      </c>
    </row>
    <row r="405" spans="2:7" hidden="1" outlineLevel="1" x14ac:dyDescent="0.3">
      <c r="B405" s="99">
        <v>45880</v>
      </c>
      <c r="C405" s="94">
        <v>1163.95</v>
      </c>
      <c r="D405" s="76">
        <f t="shared" ref="D405:D445" si="18">(C405-C404)/C404</f>
        <v>-1.0127625243535601E-3</v>
      </c>
      <c r="F405" s="94">
        <v>24631.3</v>
      </c>
      <c r="G405" s="76">
        <f t="shared" ref="G405:G445" si="19">(F405-F404)/F404</f>
        <v>1.1000151867768324E-2</v>
      </c>
    </row>
    <row r="406" spans="2:7" hidden="1" outlineLevel="1" x14ac:dyDescent="0.3">
      <c r="B406" s="99">
        <v>45887</v>
      </c>
      <c r="C406" s="94">
        <v>1240.1300000000001</v>
      </c>
      <c r="D406" s="76">
        <f t="shared" si="18"/>
        <v>6.5449546801838621E-2</v>
      </c>
      <c r="F406" s="94">
        <v>24870.1</v>
      </c>
      <c r="G406" s="76">
        <f t="shared" si="19"/>
        <v>9.6949815884666782E-3</v>
      </c>
    </row>
    <row r="407" spans="2:7" hidden="1" outlineLevel="1" x14ac:dyDescent="0.3">
      <c r="B407" s="99">
        <v>45894</v>
      </c>
      <c r="C407" s="94">
        <v>1225.73</v>
      </c>
      <c r="D407" s="76">
        <f t="shared" si="18"/>
        <v>-1.1611685871642562E-2</v>
      </c>
      <c r="F407" s="94">
        <v>24426.85</v>
      </c>
      <c r="G407" s="76">
        <f t="shared" si="19"/>
        <v>-1.7822606262138069E-2</v>
      </c>
    </row>
    <row r="408" spans="2:7" hidden="1" outlineLevel="1" x14ac:dyDescent="0.3">
      <c r="B408" s="99">
        <v>45901</v>
      </c>
      <c r="C408" s="94">
        <v>1214.78</v>
      </c>
      <c r="D408" s="76">
        <f t="shared" si="18"/>
        <v>-8.9334519021318278E-3</v>
      </c>
      <c r="F408" s="94">
        <v>24741</v>
      </c>
      <c r="G408" s="76">
        <f t="shared" si="19"/>
        <v>1.2860847796584557E-2</v>
      </c>
    </row>
    <row r="409" spans="2:7" hidden="1" outlineLevel="1" x14ac:dyDescent="0.3">
      <c r="B409" s="99">
        <v>45908</v>
      </c>
      <c r="C409" s="94">
        <v>1232.73</v>
      </c>
      <c r="D409" s="76">
        <f t="shared" si="18"/>
        <v>1.4776338102372484E-2</v>
      </c>
      <c r="F409" s="94">
        <v>25114</v>
      </c>
      <c r="G409" s="76">
        <f t="shared" si="19"/>
        <v>1.5076189321369386E-2</v>
      </c>
    </row>
    <row r="410" spans="2:7" hidden="1" outlineLevel="1" x14ac:dyDescent="0.3">
      <c r="B410" s="99">
        <v>45915</v>
      </c>
      <c r="C410" s="94">
        <v>1222.08</v>
      </c>
      <c r="D410" s="76">
        <f t="shared" si="18"/>
        <v>-8.6393614173420705E-3</v>
      </c>
      <c r="F410" s="94">
        <v>25327.05</v>
      </c>
      <c r="G410" s="76">
        <f t="shared" si="19"/>
        <v>8.4833160786811843E-3</v>
      </c>
    </row>
    <row r="411" spans="2:7" hidden="1" outlineLevel="1" x14ac:dyDescent="0.3">
      <c r="B411" s="99">
        <v>45922</v>
      </c>
      <c r="C411" s="94">
        <v>1148.0999999999999</v>
      </c>
      <c r="D411" s="76">
        <f t="shared" si="18"/>
        <v>-6.0536135113904183E-2</v>
      </c>
      <c r="F411" s="94">
        <v>24654.7</v>
      </c>
      <c r="G411" s="76">
        <f t="shared" si="19"/>
        <v>-2.6546715863079141E-2</v>
      </c>
    </row>
    <row r="412" spans="2:7" hidden="1" outlineLevel="1" x14ac:dyDescent="0.3">
      <c r="B412" s="99">
        <v>45929</v>
      </c>
      <c r="C412" s="94">
        <v>1133.4000000000001</v>
      </c>
      <c r="D412" s="76">
        <f t="shared" si="18"/>
        <v>-1.2803762738437261E-2</v>
      </c>
      <c r="F412" s="94">
        <v>24894.25</v>
      </c>
      <c r="G412" s="76">
        <f t="shared" si="19"/>
        <v>9.7162001565624101E-3</v>
      </c>
    </row>
    <row r="413" spans="2:7" hidden="1" outlineLevel="1" x14ac:dyDescent="0.3">
      <c r="B413" s="99">
        <v>45936</v>
      </c>
      <c r="C413" s="94">
        <v>1114.46</v>
      </c>
      <c r="D413" s="76">
        <f t="shared" si="18"/>
        <v>-1.6710781718722475E-2</v>
      </c>
      <c r="F413" s="94">
        <v>25285.35</v>
      </c>
      <c r="G413" s="76">
        <f t="shared" si="19"/>
        <v>1.5710455225604249E-2</v>
      </c>
    </row>
    <row r="414" spans="2:7" hidden="1" outlineLevel="1" x14ac:dyDescent="0.3">
      <c r="B414" s="99">
        <v>45943</v>
      </c>
      <c r="C414" s="94">
        <v>1116.83</v>
      </c>
      <c r="D414" s="76">
        <f t="shared" si="18"/>
        <v>2.1265904563644192E-3</v>
      </c>
      <c r="F414" s="94">
        <v>25709.85</v>
      </c>
      <c r="G414" s="76">
        <f t="shared" si="19"/>
        <v>1.6788377459675267E-2</v>
      </c>
    </row>
    <row r="415" spans="2:7" hidden="1" outlineLevel="1" x14ac:dyDescent="0.3">
      <c r="B415" s="99">
        <v>45950</v>
      </c>
      <c r="C415" s="94">
        <v>1115.05</v>
      </c>
      <c r="D415" s="76">
        <f t="shared" si="18"/>
        <v>-1.5937967282397257E-3</v>
      </c>
      <c r="F415" s="94">
        <v>25795.15</v>
      </c>
      <c r="G415" s="76">
        <f t="shared" si="19"/>
        <v>3.3177945417807927E-3</v>
      </c>
    </row>
    <row r="416" spans="2:7" hidden="1" outlineLevel="1" x14ac:dyDescent="0.3">
      <c r="B416" s="99">
        <v>45957</v>
      </c>
      <c r="C416" s="94">
        <v>1103.4100000000001</v>
      </c>
      <c r="D416" s="76">
        <f t="shared" si="18"/>
        <v>-1.0438993767095532E-2</v>
      </c>
      <c r="F416" s="94">
        <v>25722.1</v>
      </c>
      <c r="G416" s="76">
        <f t="shared" si="19"/>
        <v>-2.8319277073404459E-3</v>
      </c>
    </row>
    <row r="417" spans="2:7" hidden="1" outlineLevel="1" x14ac:dyDescent="0.3">
      <c r="B417" s="99">
        <v>45964</v>
      </c>
      <c r="C417" s="94">
        <v>1106.57</v>
      </c>
      <c r="D417" s="76">
        <f t="shared" si="18"/>
        <v>2.8638493397738413E-3</v>
      </c>
      <c r="F417" s="94">
        <v>25492.3</v>
      </c>
      <c r="G417" s="76">
        <f t="shared" si="19"/>
        <v>-8.933951737999591E-3</v>
      </c>
    </row>
    <row r="418" spans="2:7" hidden="1" outlineLevel="1" x14ac:dyDescent="0.3">
      <c r="B418" s="99">
        <v>45971</v>
      </c>
      <c r="C418" s="94">
        <v>1135.8900000000001</v>
      </c>
      <c r="D418" s="76">
        <f t="shared" si="18"/>
        <v>2.6496290338614066E-2</v>
      </c>
      <c r="F418" s="94">
        <v>25910.05</v>
      </c>
      <c r="G418" s="76">
        <f t="shared" si="19"/>
        <v>1.638730126351879E-2</v>
      </c>
    </row>
    <row r="419" spans="2:7" hidden="1" outlineLevel="1" x14ac:dyDescent="0.3">
      <c r="B419" s="99">
        <v>45978</v>
      </c>
      <c r="C419" s="94">
        <v>1114.79</v>
      </c>
      <c r="D419" s="76">
        <f t="shared" si="18"/>
        <v>-1.8575742369419692E-2</v>
      </c>
      <c r="F419" s="94">
        <v>26068.15</v>
      </c>
      <c r="G419" s="76">
        <f t="shared" si="19"/>
        <v>6.1018793865701606E-3</v>
      </c>
    </row>
    <row r="420" spans="2:7" hidden="1" outlineLevel="1" x14ac:dyDescent="0.3">
      <c r="B420" s="99">
        <v>45985</v>
      </c>
      <c r="C420" s="94">
        <v>1135</v>
      </c>
      <c r="D420" s="76">
        <f t="shared" si="18"/>
        <v>1.8128974963894578E-2</v>
      </c>
      <c r="F420" s="94">
        <v>26202.95</v>
      </c>
      <c r="G420" s="76">
        <f t="shared" si="19"/>
        <v>5.1710612375638187E-3</v>
      </c>
    </row>
    <row r="421" spans="2:7" hidden="1" outlineLevel="1" x14ac:dyDescent="0.3">
      <c r="B421" s="99">
        <v>45992</v>
      </c>
      <c r="C421" s="94">
        <v>1125.49</v>
      </c>
      <c r="D421" s="76">
        <f t="shared" si="18"/>
        <v>-8.3788546255506528E-3</v>
      </c>
      <c r="F421" s="94">
        <v>26186.45</v>
      </c>
      <c r="G421" s="76">
        <f t="shared" si="19"/>
        <v>-6.2970009102028589E-4</v>
      </c>
    </row>
    <row r="422" spans="2:7" hidden="1" outlineLevel="1" x14ac:dyDescent="0.3">
      <c r="B422" s="99">
        <v>45999</v>
      </c>
      <c r="C422" s="94">
        <v>1143.1199999999999</v>
      </c>
      <c r="D422" s="76">
        <f t="shared" si="18"/>
        <v>1.5664288443255722E-2</v>
      </c>
      <c r="F422" s="94">
        <v>26046.95</v>
      </c>
      <c r="G422" s="76">
        <f t="shared" si="19"/>
        <v>-5.327182569611383E-3</v>
      </c>
    </row>
    <row r="423" spans="2:7" hidden="1" outlineLevel="1" x14ac:dyDescent="0.3">
      <c r="B423" s="99">
        <v>46006</v>
      </c>
      <c r="C423" s="94">
        <v>1175.22</v>
      </c>
      <c r="D423" s="76">
        <f t="shared" si="18"/>
        <v>2.8081041360487211E-2</v>
      </c>
      <c r="F423" s="94">
        <v>25966.400000000001</v>
      </c>
      <c r="G423" s="76">
        <f t="shared" si="19"/>
        <v>-3.0924925951022774E-3</v>
      </c>
    </row>
    <row r="424" spans="2:7" hidden="1" outlineLevel="1" x14ac:dyDescent="0.3">
      <c r="B424" s="99">
        <v>46013</v>
      </c>
      <c r="C424" s="94">
        <v>1195.04</v>
      </c>
      <c r="D424" s="76">
        <f t="shared" si="18"/>
        <v>1.6864927417845114E-2</v>
      </c>
      <c r="F424" s="94">
        <v>26042.3</v>
      </c>
      <c r="G424" s="76">
        <f t="shared" si="19"/>
        <v>2.9230081952060284E-3</v>
      </c>
    </row>
    <row r="425" spans="2:7" hidden="1" outlineLevel="1" x14ac:dyDescent="0.3">
      <c r="B425" s="99">
        <v>46020</v>
      </c>
      <c r="C425" s="94">
        <v>1223.77</v>
      </c>
      <c r="D425" s="76">
        <f t="shared" si="18"/>
        <v>2.404103628330434E-2</v>
      </c>
      <c r="F425" s="94">
        <v>26328.55</v>
      </c>
      <c r="G425" s="76">
        <f t="shared" si="19"/>
        <v>1.0991732681061198E-2</v>
      </c>
    </row>
    <row r="426" spans="2:7" hidden="1" outlineLevel="1" x14ac:dyDescent="0.3">
      <c r="B426" s="99">
        <v>46027</v>
      </c>
      <c r="C426" s="94">
        <v>1218.22</v>
      </c>
      <c r="D426" s="76">
        <f t="shared" si="18"/>
        <v>-4.5351659217009359E-3</v>
      </c>
      <c r="F426" s="94">
        <v>25683.3</v>
      </c>
      <c r="G426" s="76">
        <f t="shared" si="19"/>
        <v>-2.450761625687704E-2</v>
      </c>
    </row>
    <row r="427" spans="2:7" hidden="1" outlineLevel="1" x14ac:dyDescent="0.3">
      <c r="B427" s="99">
        <v>46034</v>
      </c>
      <c r="C427" s="94">
        <v>1225.46</v>
      </c>
      <c r="D427" s="76">
        <f t="shared" si="18"/>
        <v>5.9430973059053449E-3</v>
      </c>
      <c r="F427" s="94">
        <v>25694.35</v>
      </c>
      <c r="G427" s="76">
        <f t="shared" si="19"/>
        <v>4.3024066222016925E-4</v>
      </c>
    </row>
    <row r="428" spans="2:7" hidden="1" outlineLevel="1" x14ac:dyDescent="0.3">
      <c r="B428" s="99">
        <v>46041</v>
      </c>
      <c r="C428" s="94">
        <v>1228.92</v>
      </c>
      <c r="D428" s="76">
        <f t="shared" si="18"/>
        <v>2.8234295693046175E-3</v>
      </c>
      <c r="F428" s="94">
        <v>25048.65</v>
      </c>
      <c r="G428" s="76">
        <f t="shared" si="19"/>
        <v>-2.5130038315816401E-2</v>
      </c>
    </row>
    <row r="429" spans="2:7" hidden="1" outlineLevel="1" x14ac:dyDescent="0.3">
      <c r="B429" s="99">
        <v>46048</v>
      </c>
      <c r="C429" s="94">
        <v>1150.3599999999999</v>
      </c>
      <c r="D429" s="76">
        <f t="shared" si="18"/>
        <v>-6.3926048888455045E-2</v>
      </c>
      <c r="F429" s="94">
        <v>24825.45</v>
      </c>
      <c r="G429" s="76">
        <f t="shared" si="19"/>
        <v>-8.9106598559204071E-3</v>
      </c>
    </row>
    <row r="430" spans="2:7" hidden="1" outlineLevel="1" x14ac:dyDescent="0.3">
      <c r="B430" s="99">
        <v>46055</v>
      </c>
      <c r="C430" s="94">
        <v>1175.95</v>
      </c>
      <c r="D430" s="76">
        <f t="shared" si="18"/>
        <v>2.2245210195069497E-2</v>
      </c>
      <c r="F430" s="94">
        <v>25693.7</v>
      </c>
      <c r="G430" s="76">
        <f t="shared" si="19"/>
        <v>3.4974189793135671E-2</v>
      </c>
    </row>
    <row r="431" spans="2:7" hidden="1" outlineLevel="1" x14ac:dyDescent="0.3">
      <c r="B431" s="99">
        <v>46062</v>
      </c>
      <c r="C431" s="94">
        <v>1189.49</v>
      </c>
      <c r="D431" s="76">
        <f t="shared" si="18"/>
        <v>1.151409498703173E-2</v>
      </c>
      <c r="F431" s="94">
        <v>25471.1</v>
      </c>
      <c r="G431" s="76">
        <f t="shared" si="19"/>
        <v>-8.6636023616685088E-3</v>
      </c>
    </row>
    <row r="432" spans="2:7" hidden="1" outlineLevel="1" x14ac:dyDescent="0.3">
      <c r="B432" s="99">
        <v>46069</v>
      </c>
      <c r="C432" s="94">
        <v>1199.94</v>
      </c>
      <c r="D432" s="76">
        <f t="shared" si="18"/>
        <v>8.7852777240666549E-3</v>
      </c>
      <c r="F432" s="94">
        <v>25571.25</v>
      </c>
      <c r="G432" s="76">
        <f t="shared" si="19"/>
        <v>3.93190714181961E-3</v>
      </c>
    </row>
    <row r="433" spans="2:10" hidden="1" outlineLevel="1" x14ac:dyDescent="0.3">
      <c r="B433" s="99">
        <v>46076</v>
      </c>
      <c r="C433" s="94">
        <v>1211.48</v>
      </c>
      <c r="D433" s="76">
        <f t="shared" si="18"/>
        <v>9.6171475240428381E-3</v>
      </c>
      <c r="F433" s="94">
        <v>25178.65</v>
      </c>
      <c r="G433" s="76">
        <f t="shared" si="19"/>
        <v>-1.5353179840641289E-2</v>
      </c>
    </row>
    <row r="434" spans="2:10" hidden="1" outlineLevel="1" x14ac:dyDescent="0.3">
      <c r="B434" s="99">
        <v>46083</v>
      </c>
      <c r="C434" s="94">
        <v>1111.08</v>
      </c>
      <c r="D434" s="76">
        <f t="shared" si="18"/>
        <v>-8.287384026149841E-2</v>
      </c>
      <c r="F434" s="94">
        <v>24450.45</v>
      </c>
      <c r="G434" s="76">
        <f t="shared" si="19"/>
        <v>-2.8921328188763126E-2</v>
      </c>
    </row>
    <row r="435" spans="2:10" hidden="1" outlineLevel="1" x14ac:dyDescent="0.3">
      <c r="B435" s="99">
        <v>46090</v>
      </c>
      <c r="C435" s="94">
        <v>1022.82</v>
      </c>
      <c r="D435" s="76">
        <f t="shared" si="18"/>
        <v>-7.9436224214277901E-2</v>
      </c>
      <c r="F435" s="94">
        <v>23151.1</v>
      </c>
      <c r="G435" s="76">
        <f t="shared" si="19"/>
        <v>-5.3142171207482977E-2</v>
      </c>
    </row>
    <row r="436" spans="2:10" hidden="1" outlineLevel="1" x14ac:dyDescent="0.3">
      <c r="B436" s="99">
        <v>46097</v>
      </c>
      <c r="C436" s="94">
        <v>1012.57</v>
      </c>
      <c r="D436" s="76">
        <f t="shared" si="18"/>
        <v>-1.0021313623120393E-2</v>
      </c>
      <c r="F436" s="94">
        <v>23114.5</v>
      </c>
      <c r="G436" s="76">
        <f t="shared" si="19"/>
        <v>-1.5809184012854052E-3</v>
      </c>
    </row>
    <row r="437" spans="2:10" hidden="1" outlineLevel="1" x14ac:dyDescent="0.3">
      <c r="B437" s="99">
        <v>46104</v>
      </c>
      <c r="C437" s="94">
        <v>1003.71</v>
      </c>
      <c r="D437" s="76">
        <f t="shared" si="18"/>
        <v>-8.7500123448255567E-3</v>
      </c>
      <c r="F437" s="94">
        <v>22819.599999999999</v>
      </c>
      <c r="G437" s="76">
        <f t="shared" si="19"/>
        <v>-1.2758225356378093E-2</v>
      </c>
    </row>
    <row r="438" spans="2:10" hidden="1" outlineLevel="1" x14ac:dyDescent="0.3">
      <c r="B438" s="99">
        <v>46111</v>
      </c>
      <c r="C438" s="59">
        <v>989.88</v>
      </c>
      <c r="D438" s="76">
        <f t="shared" si="18"/>
        <v>-1.377888035388712E-2</v>
      </c>
      <c r="F438" s="94">
        <v>22713.1</v>
      </c>
      <c r="G438" s="76">
        <f t="shared" si="19"/>
        <v>-4.6670406142088382E-3</v>
      </c>
    </row>
    <row r="439" spans="2:10" hidden="1" outlineLevel="1" x14ac:dyDescent="0.3">
      <c r="B439" s="99">
        <v>46118</v>
      </c>
      <c r="C439" s="94">
        <v>1072.77</v>
      </c>
      <c r="D439" s="76">
        <f t="shared" si="18"/>
        <v>8.3737422717905186E-2</v>
      </c>
      <c r="F439" s="94">
        <v>24050.6</v>
      </c>
      <c r="G439" s="76">
        <f t="shared" si="19"/>
        <v>5.8886721759689349E-2</v>
      </c>
    </row>
    <row r="440" spans="2:10" hidden="1" outlineLevel="1" x14ac:dyDescent="0.3">
      <c r="B440" s="99">
        <v>46125</v>
      </c>
      <c r="C440" s="94">
        <v>1103.9100000000001</v>
      </c>
      <c r="D440" s="76">
        <f t="shared" si="18"/>
        <v>2.9027657372969137E-2</v>
      </c>
      <c r="F440" s="94">
        <v>24353.55</v>
      </c>
      <c r="G440" s="76">
        <f t="shared" si="19"/>
        <v>1.2596359342386499E-2</v>
      </c>
    </row>
    <row r="441" spans="2:10" hidden="1" outlineLevel="1" x14ac:dyDescent="0.3">
      <c r="B441" s="99">
        <v>46132</v>
      </c>
      <c r="C441" s="94">
        <v>1084.51</v>
      </c>
      <c r="D441" s="76">
        <f t="shared" si="18"/>
        <v>-1.7573896422715701E-2</v>
      </c>
      <c r="F441" s="94">
        <v>23897.95</v>
      </c>
      <c r="G441" s="76">
        <f t="shared" si="19"/>
        <v>-1.8707744866764745E-2</v>
      </c>
    </row>
    <row r="442" spans="2:10" hidden="1" outlineLevel="1" x14ac:dyDescent="0.3">
      <c r="B442" s="99">
        <v>46139</v>
      </c>
      <c r="C442" s="94">
        <v>1061.82</v>
      </c>
      <c r="D442" s="76">
        <f t="shared" si="18"/>
        <v>-2.0921890992245396E-2</v>
      </c>
      <c r="F442" s="94">
        <v>23997.55</v>
      </c>
      <c r="G442" s="76">
        <f t="shared" si="19"/>
        <v>4.1677214991243409E-3</v>
      </c>
    </row>
    <row r="443" spans="2:10" hidden="1" outlineLevel="1" x14ac:dyDescent="0.3">
      <c r="B443" s="99">
        <v>46146</v>
      </c>
      <c r="C443" s="94">
        <v>1037.24</v>
      </c>
      <c r="D443" s="76">
        <f t="shared" si="18"/>
        <v>-2.3148932964155815E-2</v>
      </c>
      <c r="F443" s="94">
        <v>24176.15</v>
      </c>
      <c r="G443" s="76">
        <f t="shared" si="19"/>
        <v>7.4424264143632237E-3</v>
      </c>
    </row>
    <row r="444" spans="2:10" hidden="1" outlineLevel="1" x14ac:dyDescent="0.3">
      <c r="B444" s="99">
        <v>46153</v>
      </c>
      <c r="C444" s="94">
        <v>1025.0999999999999</v>
      </c>
      <c r="D444" s="76">
        <f t="shared" si="18"/>
        <v>-1.17041379044388E-2</v>
      </c>
      <c r="F444" s="94">
        <v>23379.55</v>
      </c>
      <c r="G444" s="76">
        <f t="shared" si="19"/>
        <v>-3.2949828653445735E-2</v>
      </c>
    </row>
    <row r="445" spans="2:10" hidden="1" outlineLevel="1" x14ac:dyDescent="0.3">
      <c r="B445" s="99">
        <v>46155</v>
      </c>
      <c r="C445" s="94">
        <v>1030.5</v>
      </c>
      <c r="D445" s="76">
        <f t="shared" si="18"/>
        <v>5.2677787532924509E-3</v>
      </c>
      <c r="F445" s="94">
        <v>23472.799999999999</v>
      </c>
      <c r="G445" s="76">
        <f t="shared" si="19"/>
        <v>3.9885284361760595E-3</v>
      </c>
    </row>
    <row r="446" spans="2:10" collapsed="1" x14ac:dyDescent="0.3"/>
    <row r="447" spans="2:10" x14ac:dyDescent="0.3">
      <c r="B447" s="199" t="s">
        <v>439</v>
      </c>
      <c r="C447" s="199"/>
      <c r="D447" s="199"/>
      <c r="F447" s="199" t="s">
        <v>253</v>
      </c>
      <c r="G447" s="199"/>
      <c r="I447" s="199" t="s">
        <v>252</v>
      </c>
      <c r="J447" s="199"/>
    </row>
    <row r="448" spans="2:10" hidden="1" outlineLevel="1" x14ac:dyDescent="0.3"/>
    <row r="449" spans="2:13" hidden="1" outlineLevel="1" x14ac:dyDescent="0.3">
      <c r="B449" s="67" t="s">
        <v>251</v>
      </c>
      <c r="C449" s="98" t="s">
        <v>250</v>
      </c>
      <c r="D449" s="67" t="s">
        <v>249</v>
      </c>
      <c r="F449" s="98" t="s">
        <v>250</v>
      </c>
      <c r="G449" s="67" t="s">
        <v>249</v>
      </c>
      <c r="I449" s="59" t="s">
        <v>248</v>
      </c>
      <c r="J449" s="77">
        <f>M449</f>
        <v>0.58944746130384751</v>
      </c>
      <c r="L449" s="145" t="s">
        <v>247</v>
      </c>
      <c r="M449" s="77">
        <f>SLOPE(D451:D555,G451:G555)</f>
        <v>0.58944746130384751</v>
      </c>
    </row>
    <row r="450" spans="2:13" hidden="1" outlineLevel="1" x14ac:dyDescent="0.3">
      <c r="B450" s="99">
        <v>45425</v>
      </c>
      <c r="C450" s="94">
        <v>526.84</v>
      </c>
      <c r="D450" s="97" t="s">
        <v>59</v>
      </c>
      <c r="F450" s="94">
        <v>22466.1</v>
      </c>
      <c r="G450" s="97" t="s">
        <v>59</v>
      </c>
      <c r="I450" s="59" t="s">
        <v>246</v>
      </c>
      <c r="J450" s="60">
        <v>0.75</v>
      </c>
      <c r="L450" s="145" t="s">
        <v>245</v>
      </c>
      <c r="M450" s="77">
        <f>_xlfn.COVARIANCE.S(D451:D555,G451:G555)/_xlfn.VAR.S(G451:G555)</f>
        <v>0.58944746130384718</v>
      </c>
    </row>
    <row r="451" spans="2:13" hidden="1" outlineLevel="1" x14ac:dyDescent="0.3">
      <c r="B451" s="99">
        <v>45432</v>
      </c>
      <c r="C451" s="94">
        <v>544.5</v>
      </c>
      <c r="D451" s="76">
        <f t="shared" ref="D451:D514" si="20">(C451-C450)/C450</f>
        <v>3.3520613468984828E-2</v>
      </c>
      <c r="F451" s="94">
        <v>22957.1</v>
      </c>
      <c r="G451" s="76">
        <f t="shared" ref="G451:G514" si="21">(F451-F450)/F450</f>
        <v>2.1855150649200353E-2</v>
      </c>
      <c r="I451" s="59" t="s">
        <v>244</v>
      </c>
      <c r="J451" s="59">
        <v>1</v>
      </c>
    </row>
    <row r="452" spans="2:13" hidden="1" outlineLevel="1" x14ac:dyDescent="0.3">
      <c r="B452" s="99">
        <v>45439</v>
      </c>
      <c r="C452" s="94">
        <v>531.80999999999995</v>
      </c>
      <c r="D452" s="76">
        <f t="shared" si="20"/>
        <v>-2.3305785123967044E-2</v>
      </c>
      <c r="F452" s="94">
        <v>22530.7</v>
      </c>
      <c r="G452" s="76">
        <f t="shared" si="21"/>
        <v>-1.8573774562117944E-2</v>
      </c>
      <c r="I452" s="59" t="s">
        <v>242</v>
      </c>
      <c r="J452" s="60">
        <v>0.25</v>
      </c>
    </row>
    <row r="453" spans="2:13" hidden="1" outlineLevel="1" x14ac:dyDescent="0.3">
      <c r="B453" s="99">
        <v>45446</v>
      </c>
      <c r="C453" s="94">
        <v>598.16</v>
      </c>
      <c r="D453" s="76">
        <f t="shared" si="20"/>
        <v>0.12476260318534821</v>
      </c>
      <c r="F453" s="94">
        <v>23290.15</v>
      </c>
      <c r="G453" s="76">
        <f t="shared" si="21"/>
        <v>3.3707341538434257E-2</v>
      </c>
      <c r="I453" s="96" t="s">
        <v>241</v>
      </c>
      <c r="J453" s="95">
        <f>(J449*J450)+(J451*J452)</f>
        <v>0.69208559597788566</v>
      </c>
    </row>
    <row r="454" spans="2:13" hidden="1" outlineLevel="1" x14ac:dyDescent="0.3">
      <c r="B454" s="99">
        <v>45453</v>
      </c>
      <c r="C454" s="94">
        <v>593.80999999999995</v>
      </c>
      <c r="D454" s="76">
        <f t="shared" si="20"/>
        <v>-7.2723017252909307E-3</v>
      </c>
      <c r="F454" s="94">
        <v>23465.599999999999</v>
      </c>
      <c r="G454" s="76">
        <f t="shared" si="21"/>
        <v>7.5332275661598178E-3</v>
      </c>
    </row>
    <row r="455" spans="2:13" hidden="1" outlineLevel="1" x14ac:dyDescent="0.3">
      <c r="B455" s="99">
        <v>45460</v>
      </c>
      <c r="C455" s="94">
        <v>575.57000000000005</v>
      </c>
      <c r="D455" s="76">
        <f t="shared" si="20"/>
        <v>-3.0716895976827432E-2</v>
      </c>
      <c r="F455" s="94">
        <v>23501.1</v>
      </c>
      <c r="G455" s="76">
        <f t="shared" si="21"/>
        <v>1.5128528569480432E-3</v>
      </c>
    </row>
    <row r="456" spans="2:13" hidden="1" outlineLevel="1" x14ac:dyDescent="0.3">
      <c r="B456" s="99">
        <v>45467</v>
      </c>
      <c r="C456" s="94">
        <v>586.05999999999995</v>
      </c>
      <c r="D456" s="76">
        <f t="shared" si="20"/>
        <v>1.822541133137567E-2</v>
      </c>
      <c r="F456" s="94">
        <v>24010.6</v>
      </c>
      <c r="G456" s="76">
        <f t="shared" si="21"/>
        <v>2.1679836262983435E-2</v>
      </c>
    </row>
    <row r="457" spans="2:13" hidden="1" outlineLevel="1" x14ac:dyDescent="0.3">
      <c r="B457" s="99">
        <v>45474</v>
      </c>
      <c r="C457" s="94">
        <v>591.66999999999996</v>
      </c>
      <c r="D457" s="76">
        <f t="shared" si="20"/>
        <v>9.5723987305054332E-3</v>
      </c>
      <c r="F457" s="94">
        <v>24323.85</v>
      </c>
      <c r="G457" s="76">
        <f t="shared" si="21"/>
        <v>1.3046321208133075E-2</v>
      </c>
    </row>
    <row r="458" spans="2:13" hidden="1" outlineLevel="1" x14ac:dyDescent="0.3">
      <c r="B458" s="99">
        <v>45481</v>
      </c>
      <c r="C458" s="94">
        <v>614.64</v>
      </c>
      <c r="D458" s="76">
        <f t="shared" si="20"/>
        <v>3.8822316493991635E-2</v>
      </c>
      <c r="F458" s="94">
        <v>24502.15</v>
      </c>
      <c r="G458" s="76">
        <f t="shared" si="21"/>
        <v>7.3302540510652272E-3</v>
      </c>
    </row>
    <row r="459" spans="2:13" hidden="1" outlineLevel="1" x14ac:dyDescent="0.3">
      <c r="B459" s="99">
        <v>45488</v>
      </c>
      <c r="C459" s="94">
        <v>617.47</v>
      </c>
      <c r="D459" s="76">
        <f t="shared" si="20"/>
        <v>4.6043212286867776E-3</v>
      </c>
      <c r="F459" s="94">
        <v>24530.9</v>
      </c>
      <c r="G459" s="76">
        <f t="shared" si="21"/>
        <v>1.1733664188652831E-3</v>
      </c>
    </row>
    <row r="460" spans="2:13" hidden="1" outlineLevel="1" x14ac:dyDescent="0.3">
      <c r="B460" s="99">
        <v>45495</v>
      </c>
      <c r="C460" s="94">
        <v>619.67999999999995</v>
      </c>
      <c r="D460" s="76">
        <f t="shared" si="20"/>
        <v>3.5791212528542642E-3</v>
      </c>
      <c r="F460" s="94">
        <v>24834.85</v>
      </c>
      <c r="G460" s="76">
        <f t="shared" si="21"/>
        <v>1.2390495252925782E-2</v>
      </c>
    </row>
    <row r="461" spans="2:13" hidden="1" outlineLevel="1" x14ac:dyDescent="0.3">
      <c r="B461" s="99">
        <v>45502</v>
      </c>
      <c r="C461" s="94">
        <v>614.88</v>
      </c>
      <c r="D461" s="76">
        <f t="shared" si="20"/>
        <v>-7.7459333849728166E-3</v>
      </c>
      <c r="F461" s="94">
        <v>24717.7</v>
      </c>
      <c r="G461" s="76">
        <f t="shared" si="21"/>
        <v>-4.7171615693268861E-3</v>
      </c>
    </row>
    <row r="462" spans="2:13" hidden="1" outlineLevel="1" x14ac:dyDescent="0.3">
      <c r="B462" s="99">
        <v>45509</v>
      </c>
      <c r="C462" s="94">
        <v>611.35</v>
      </c>
      <c r="D462" s="76">
        <f t="shared" si="20"/>
        <v>-5.7409575852198358E-3</v>
      </c>
      <c r="F462" s="94">
        <v>24367.5</v>
      </c>
      <c r="G462" s="76">
        <f t="shared" si="21"/>
        <v>-1.416798488532512E-2</v>
      </c>
    </row>
    <row r="463" spans="2:13" hidden="1" outlineLevel="1" x14ac:dyDescent="0.3">
      <c r="B463" s="99">
        <v>45516</v>
      </c>
      <c r="C463" s="94">
        <v>605.13</v>
      </c>
      <c r="D463" s="76">
        <f t="shared" si="20"/>
        <v>-1.0174204629099579E-2</v>
      </c>
      <c r="F463" s="94">
        <v>24541.15</v>
      </c>
      <c r="G463" s="76">
        <f t="shared" si="21"/>
        <v>7.1262952703396512E-3</v>
      </c>
    </row>
    <row r="464" spans="2:13" hidden="1" outlineLevel="1" x14ac:dyDescent="0.3">
      <c r="B464" s="99">
        <v>45523</v>
      </c>
      <c r="C464" s="94">
        <v>630.26</v>
      </c>
      <c r="D464" s="76">
        <f t="shared" si="20"/>
        <v>4.1528266653446361E-2</v>
      </c>
      <c r="F464" s="94">
        <v>24823.15</v>
      </c>
      <c r="G464" s="76">
        <f t="shared" si="21"/>
        <v>1.1490904052988551E-2</v>
      </c>
    </row>
    <row r="465" spans="2:7" hidden="1" outlineLevel="1" x14ac:dyDescent="0.3">
      <c r="B465" s="99">
        <v>45530</v>
      </c>
      <c r="C465" s="94">
        <v>624.28</v>
      </c>
      <c r="D465" s="76">
        <f t="shared" si="20"/>
        <v>-9.4881477485482466E-3</v>
      </c>
      <c r="F465" s="94">
        <v>25235.9</v>
      </c>
      <c r="G465" s="76">
        <f t="shared" si="21"/>
        <v>1.6627623810837867E-2</v>
      </c>
    </row>
    <row r="466" spans="2:7" hidden="1" outlineLevel="1" x14ac:dyDescent="0.3">
      <c r="B466" s="99">
        <v>45537</v>
      </c>
      <c r="C466" s="94">
        <v>631.39</v>
      </c>
      <c r="D466" s="76">
        <f t="shared" si="20"/>
        <v>1.1389120266547084E-2</v>
      </c>
      <c r="F466" s="94">
        <v>24852.15</v>
      </c>
      <c r="G466" s="76">
        <f t="shared" si="21"/>
        <v>-1.5206511358818191E-2</v>
      </c>
    </row>
    <row r="467" spans="2:7" hidden="1" outlineLevel="1" x14ac:dyDescent="0.3">
      <c r="B467" s="99">
        <v>45544</v>
      </c>
      <c r="C467" s="94">
        <v>647.54999999999995</v>
      </c>
      <c r="D467" s="76">
        <f t="shared" si="20"/>
        <v>2.5594323635154133E-2</v>
      </c>
      <c r="F467" s="94">
        <v>25356.5</v>
      </c>
      <c r="G467" s="76">
        <f t="shared" si="21"/>
        <v>2.029401882734486E-2</v>
      </c>
    </row>
    <row r="468" spans="2:7" hidden="1" outlineLevel="1" x14ac:dyDescent="0.3">
      <c r="B468" s="99">
        <v>45551</v>
      </c>
      <c r="C468" s="94">
        <v>654.07000000000005</v>
      </c>
      <c r="D468" s="76">
        <f t="shared" si="20"/>
        <v>1.0068720562118903E-2</v>
      </c>
      <c r="F468" s="94">
        <v>25790.95</v>
      </c>
      <c r="G468" s="76">
        <f t="shared" si="21"/>
        <v>1.7133673811448771E-2</v>
      </c>
    </row>
    <row r="469" spans="2:7" hidden="1" outlineLevel="1" x14ac:dyDescent="0.3">
      <c r="B469" s="99">
        <v>45558</v>
      </c>
      <c r="C469" s="94">
        <v>620.22</v>
      </c>
      <c r="D469" s="76">
        <f t="shared" si="20"/>
        <v>-5.1752870487868301E-2</v>
      </c>
      <c r="F469" s="94">
        <v>26178.95</v>
      </c>
      <c r="G469" s="76">
        <f t="shared" si="21"/>
        <v>1.5044036764834175E-2</v>
      </c>
    </row>
    <row r="470" spans="2:7" hidden="1" outlineLevel="1" x14ac:dyDescent="0.3">
      <c r="B470" s="99">
        <v>45565</v>
      </c>
      <c r="C470" s="94">
        <v>560.89</v>
      </c>
      <c r="D470" s="76">
        <f t="shared" si="20"/>
        <v>-9.5659604656412309E-2</v>
      </c>
      <c r="F470" s="94">
        <v>25014.6</v>
      </c>
      <c r="G470" s="76">
        <f t="shared" si="21"/>
        <v>-4.4476573735768708E-2</v>
      </c>
    </row>
    <row r="471" spans="2:7" hidden="1" outlineLevel="1" x14ac:dyDescent="0.3">
      <c r="B471" s="99">
        <v>45572</v>
      </c>
      <c r="C471" s="94">
        <v>559.32000000000005</v>
      </c>
      <c r="D471" s="76">
        <f t="shared" si="20"/>
        <v>-2.7991228226567355E-3</v>
      </c>
      <c r="F471" s="94">
        <v>24964.25</v>
      </c>
      <c r="G471" s="76">
        <f t="shared" si="21"/>
        <v>-2.012824510485818E-3</v>
      </c>
    </row>
    <row r="472" spans="2:7" hidden="1" outlineLevel="1" x14ac:dyDescent="0.3">
      <c r="B472" s="99">
        <v>45579</v>
      </c>
      <c r="C472" s="94">
        <v>559.86</v>
      </c>
      <c r="D472" s="76">
        <f t="shared" si="20"/>
        <v>9.6545805621104839E-4</v>
      </c>
      <c r="F472" s="94">
        <v>24854.05</v>
      </c>
      <c r="G472" s="76">
        <f t="shared" si="21"/>
        <v>-4.4143124668275923E-3</v>
      </c>
    </row>
    <row r="473" spans="2:7" hidden="1" outlineLevel="1" x14ac:dyDescent="0.3">
      <c r="B473" s="99">
        <v>45586</v>
      </c>
      <c r="C473" s="94">
        <v>527.82000000000005</v>
      </c>
      <c r="D473" s="76">
        <f t="shared" si="20"/>
        <v>-5.7228592862501274E-2</v>
      </c>
      <c r="F473" s="94">
        <v>24180.799999999999</v>
      </c>
      <c r="G473" s="76">
        <f t="shared" si="21"/>
        <v>-2.7088140564616229E-2</v>
      </c>
    </row>
    <row r="474" spans="2:7" hidden="1" outlineLevel="1" x14ac:dyDescent="0.3">
      <c r="B474" s="99">
        <v>45593</v>
      </c>
      <c r="C474" s="94">
        <v>531.59</v>
      </c>
      <c r="D474" s="76">
        <f t="shared" si="20"/>
        <v>7.1425864878177812E-3</v>
      </c>
      <c r="F474" s="94">
        <v>24304.35</v>
      </c>
      <c r="G474" s="76">
        <f t="shared" si="21"/>
        <v>5.1094256600277606E-3</v>
      </c>
    </row>
    <row r="475" spans="2:7" hidden="1" outlineLevel="1" x14ac:dyDescent="0.3">
      <c r="B475" s="99">
        <v>45600</v>
      </c>
      <c r="C475" s="94">
        <v>520.77</v>
      </c>
      <c r="D475" s="76">
        <f t="shared" si="20"/>
        <v>-2.0354032242894053E-2</v>
      </c>
      <c r="F475" s="94">
        <v>24148.2</v>
      </c>
      <c r="G475" s="76">
        <f t="shared" si="21"/>
        <v>-6.424775811737316E-3</v>
      </c>
    </row>
    <row r="476" spans="2:7" hidden="1" outlineLevel="1" x14ac:dyDescent="0.3">
      <c r="B476" s="99">
        <v>45607</v>
      </c>
      <c r="C476" s="94">
        <v>500.41</v>
      </c>
      <c r="D476" s="76">
        <f t="shared" si="20"/>
        <v>-3.9095954068014589E-2</v>
      </c>
      <c r="F476" s="94">
        <v>23532.7</v>
      </c>
      <c r="G476" s="76">
        <f t="shared" si="21"/>
        <v>-2.5488442202731467E-2</v>
      </c>
    </row>
    <row r="477" spans="2:7" hidden="1" outlineLevel="1" x14ac:dyDescent="0.3">
      <c r="B477" s="99">
        <v>45614</v>
      </c>
      <c r="C477" s="94">
        <v>505.24</v>
      </c>
      <c r="D477" s="76">
        <f t="shared" si="20"/>
        <v>9.6520852900621162E-3</v>
      </c>
      <c r="F477" s="94">
        <v>23907.25</v>
      </c>
      <c r="G477" s="76">
        <f t="shared" si="21"/>
        <v>1.5916150717937137E-2</v>
      </c>
    </row>
    <row r="478" spans="2:7" hidden="1" outlineLevel="1" x14ac:dyDescent="0.3">
      <c r="B478" s="99">
        <v>45621</v>
      </c>
      <c r="C478" s="94">
        <v>519.16999999999996</v>
      </c>
      <c r="D478" s="76">
        <f t="shared" si="20"/>
        <v>2.7571055340036319E-2</v>
      </c>
      <c r="F478" s="94">
        <v>24131.1</v>
      </c>
      <c r="G478" s="76">
        <f t="shared" si="21"/>
        <v>9.3632684645870417E-3</v>
      </c>
    </row>
    <row r="479" spans="2:7" hidden="1" outlineLevel="1" x14ac:dyDescent="0.3">
      <c r="B479" s="99">
        <v>45628</v>
      </c>
      <c r="C479" s="94">
        <v>515.88</v>
      </c>
      <c r="D479" s="76">
        <f t="shared" si="20"/>
        <v>-6.3370379644431766E-3</v>
      </c>
      <c r="F479" s="94">
        <v>24677.8</v>
      </c>
      <c r="G479" s="76">
        <f t="shared" si="21"/>
        <v>2.265541148144928E-2</v>
      </c>
    </row>
    <row r="480" spans="2:7" hidden="1" outlineLevel="1" x14ac:dyDescent="0.3">
      <c r="B480" s="99">
        <v>45635</v>
      </c>
      <c r="C480" s="94">
        <v>505.04</v>
      </c>
      <c r="D480" s="76">
        <f t="shared" si="20"/>
        <v>-2.1012638598123547E-2</v>
      </c>
      <c r="F480" s="94">
        <v>24768.3</v>
      </c>
      <c r="G480" s="76">
        <f t="shared" si="21"/>
        <v>3.6672636944946472E-3</v>
      </c>
    </row>
    <row r="481" spans="2:7" hidden="1" outlineLevel="1" x14ac:dyDescent="0.3">
      <c r="B481" s="99">
        <v>45642</v>
      </c>
      <c r="C481" s="94">
        <v>494.95</v>
      </c>
      <c r="D481" s="76">
        <f t="shared" si="20"/>
        <v>-1.997861555520361E-2</v>
      </c>
      <c r="F481" s="94">
        <v>23587.5</v>
      </c>
      <c r="G481" s="76">
        <f t="shared" si="21"/>
        <v>-4.7673841159869647E-2</v>
      </c>
    </row>
    <row r="482" spans="2:7" hidden="1" outlineLevel="1" x14ac:dyDescent="0.3">
      <c r="B482" s="99">
        <v>45649</v>
      </c>
      <c r="C482" s="94">
        <v>499.48</v>
      </c>
      <c r="D482" s="76">
        <f t="shared" si="20"/>
        <v>9.1524396403677745E-3</v>
      </c>
      <c r="F482" s="94">
        <v>23813.4</v>
      </c>
      <c r="G482" s="76">
        <f t="shared" si="21"/>
        <v>9.5771065182830503E-3</v>
      </c>
    </row>
    <row r="483" spans="2:7" hidden="1" outlineLevel="1" x14ac:dyDescent="0.3">
      <c r="B483" s="99">
        <v>45656</v>
      </c>
      <c r="C483" s="94">
        <v>516.96</v>
      </c>
      <c r="D483" s="76">
        <f t="shared" si="20"/>
        <v>3.499639625210222E-2</v>
      </c>
      <c r="F483" s="94">
        <v>24004.75</v>
      </c>
      <c r="G483" s="76">
        <f t="shared" si="21"/>
        <v>8.0353918382086772E-3</v>
      </c>
    </row>
    <row r="484" spans="2:7" hidden="1" outlineLevel="1" x14ac:dyDescent="0.3">
      <c r="B484" s="99">
        <v>45663</v>
      </c>
      <c r="C484" s="94">
        <v>510.06</v>
      </c>
      <c r="D484" s="76">
        <f t="shared" si="20"/>
        <v>-1.334726090993507E-2</v>
      </c>
      <c r="F484" s="94">
        <v>23431.5</v>
      </c>
      <c r="G484" s="76">
        <f t="shared" si="21"/>
        <v>-2.3880690280048741E-2</v>
      </c>
    </row>
    <row r="485" spans="2:7" hidden="1" outlineLevel="1" x14ac:dyDescent="0.3">
      <c r="B485" s="99">
        <v>45670</v>
      </c>
      <c r="C485" s="94">
        <v>518.09</v>
      </c>
      <c r="D485" s="76">
        <f t="shared" si="20"/>
        <v>1.5743245892640138E-2</v>
      </c>
      <c r="F485" s="94">
        <v>23203.200000000001</v>
      </c>
      <c r="G485" s="76">
        <f t="shared" si="21"/>
        <v>-9.7432942833365031E-3</v>
      </c>
    </row>
    <row r="486" spans="2:7" hidden="1" outlineLevel="1" x14ac:dyDescent="0.3">
      <c r="B486" s="99">
        <v>45677</v>
      </c>
      <c r="C486" s="94">
        <v>513.76</v>
      </c>
      <c r="D486" s="76">
        <f t="shared" si="20"/>
        <v>-8.3576212627150502E-3</v>
      </c>
      <c r="F486" s="94">
        <v>23092.2</v>
      </c>
      <c r="G486" s="76">
        <f t="shared" si="21"/>
        <v>-4.7838229209764167E-3</v>
      </c>
    </row>
    <row r="487" spans="2:7" hidden="1" outlineLevel="1" x14ac:dyDescent="0.3">
      <c r="B487" s="99">
        <v>45684</v>
      </c>
      <c r="C487" s="94">
        <v>530.94000000000005</v>
      </c>
      <c r="D487" s="76">
        <f t="shared" si="20"/>
        <v>3.3439738399252697E-2</v>
      </c>
      <c r="F487" s="94">
        <v>23482.15</v>
      </c>
      <c r="G487" s="76">
        <f t="shared" si="21"/>
        <v>1.6886654368141654E-2</v>
      </c>
    </row>
    <row r="488" spans="2:7" hidden="1" outlineLevel="1" x14ac:dyDescent="0.3">
      <c r="B488" s="99">
        <v>45691</v>
      </c>
      <c r="C488" s="94">
        <v>519.13</v>
      </c>
      <c r="D488" s="76">
        <f t="shared" si="20"/>
        <v>-2.2243568011451498E-2</v>
      </c>
      <c r="F488" s="94">
        <v>23559.95</v>
      </c>
      <c r="G488" s="76">
        <f t="shared" si="21"/>
        <v>3.313154885732323E-3</v>
      </c>
    </row>
    <row r="489" spans="2:7" hidden="1" outlineLevel="1" x14ac:dyDescent="0.3">
      <c r="B489" s="99">
        <v>45698</v>
      </c>
      <c r="C489" s="94">
        <v>512.03</v>
      </c>
      <c r="D489" s="76">
        <f t="shared" si="20"/>
        <v>-1.3676728372469367E-2</v>
      </c>
      <c r="F489" s="94">
        <v>22929.25</v>
      </c>
      <c r="G489" s="76">
        <f t="shared" si="21"/>
        <v>-2.6770005878620315E-2</v>
      </c>
    </row>
    <row r="490" spans="2:7" hidden="1" outlineLevel="1" x14ac:dyDescent="0.3">
      <c r="B490" s="99">
        <v>45705</v>
      </c>
      <c r="C490" s="94">
        <v>500.95</v>
      </c>
      <c r="D490" s="76">
        <f t="shared" si="20"/>
        <v>-2.1639357068921714E-2</v>
      </c>
      <c r="F490" s="94">
        <v>22795.9</v>
      </c>
      <c r="G490" s="76">
        <f t="shared" si="21"/>
        <v>-5.8157157342694828E-3</v>
      </c>
    </row>
    <row r="491" spans="2:7" hidden="1" outlineLevel="1" x14ac:dyDescent="0.3">
      <c r="B491" s="99">
        <v>45712</v>
      </c>
      <c r="C491" s="94">
        <v>485.84</v>
      </c>
      <c r="D491" s="76">
        <f t="shared" si="20"/>
        <v>-3.0162690887314131E-2</v>
      </c>
      <c r="F491" s="94">
        <v>22124.7</v>
      </c>
      <c r="G491" s="76">
        <f t="shared" si="21"/>
        <v>-2.9443891226053839E-2</v>
      </c>
    </row>
    <row r="492" spans="2:7" hidden="1" outlineLevel="1" x14ac:dyDescent="0.3">
      <c r="B492" s="99">
        <v>45719</v>
      </c>
      <c r="C492" s="94">
        <v>488.3</v>
      </c>
      <c r="D492" s="76">
        <f t="shared" si="20"/>
        <v>5.0633953564960411E-3</v>
      </c>
      <c r="F492" s="94">
        <v>22552.5</v>
      </c>
      <c r="G492" s="76">
        <f t="shared" si="21"/>
        <v>1.9335855401429139E-2</v>
      </c>
    </row>
    <row r="493" spans="2:7" hidden="1" outlineLevel="1" x14ac:dyDescent="0.3">
      <c r="B493" s="99">
        <v>45726</v>
      </c>
      <c r="C493" s="94">
        <v>493.37</v>
      </c>
      <c r="D493" s="76">
        <f t="shared" si="20"/>
        <v>1.0382961294286286E-2</v>
      </c>
      <c r="F493" s="94">
        <v>22397.200000000001</v>
      </c>
      <c r="G493" s="76">
        <f t="shared" si="21"/>
        <v>-6.8861545283227703E-3</v>
      </c>
    </row>
    <row r="494" spans="2:7" hidden="1" outlineLevel="1" x14ac:dyDescent="0.3">
      <c r="B494" s="99">
        <v>45733</v>
      </c>
      <c r="C494" s="94">
        <v>499.13</v>
      </c>
      <c r="D494" s="76">
        <f t="shared" si="20"/>
        <v>1.1674807953462899E-2</v>
      </c>
      <c r="F494" s="94">
        <v>23350.400000000001</v>
      </c>
      <c r="G494" s="76">
        <f t="shared" si="21"/>
        <v>4.2558891289982706E-2</v>
      </c>
    </row>
    <row r="495" spans="2:7" hidden="1" outlineLevel="1" x14ac:dyDescent="0.3">
      <c r="B495" s="99">
        <v>45740</v>
      </c>
      <c r="C495" s="94">
        <v>498.84</v>
      </c>
      <c r="D495" s="76">
        <f t="shared" si="20"/>
        <v>-5.8101095906882064E-4</v>
      </c>
      <c r="F495" s="94">
        <v>23519.35</v>
      </c>
      <c r="G495" s="76">
        <f t="shared" si="21"/>
        <v>7.2354220912702596E-3</v>
      </c>
    </row>
    <row r="496" spans="2:7" hidden="1" outlineLevel="1" x14ac:dyDescent="0.3">
      <c r="B496" s="99">
        <v>45747</v>
      </c>
      <c r="C496" s="94">
        <v>454.76</v>
      </c>
      <c r="D496" s="76">
        <f t="shared" si="20"/>
        <v>-8.8365006815812663E-2</v>
      </c>
      <c r="F496" s="94">
        <v>22904.45</v>
      </c>
      <c r="G496" s="76">
        <f t="shared" si="21"/>
        <v>-2.614443001188374E-2</v>
      </c>
    </row>
    <row r="497" spans="2:7" hidden="1" outlineLevel="1" x14ac:dyDescent="0.3">
      <c r="B497" s="99">
        <v>45754</v>
      </c>
      <c r="C497" s="94">
        <v>454.32</v>
      </c>
      <c r="D497" s="76">
        <f t="shared" si="20"/>
        <v>-9.675433195531659E-4</v>
      </c>
      <c r="F497" s="94">
        <v>22828.55</v>
      </c>
      <c r="G497" s="76">
        <f t="shared" si="21"/>
        <v>-3.3137665388167561E-3</v>
      </c>
    </row>
    <row r="498" spans="2:7" hidden="1" outlineLevel="1" x14ac:dyDescent="0.3">
      <c r="B498" s="99">
        <v>45761</v>
      </c>
      <c r="C498" s="94">
        <v>472.05</v>
      </c>
      <c r="D498" s="76">
        <f t="shared" si="20"/>
        <v>3.9025356576862166E-2</v>
      </c>
      <c r="F498" s="94">
        <v>23851.65</v>
      </c>
      <c r="G498" s="76">
        <f t="shared" si="21"/>
        <v>4.4816687875489342E-2</v>
      </c>
    </row>
    <row r="499" spans="2:7" hidden="1" outlineLevel="1" x14ac:dyDescent="0.3">
      <c r="B499" s="99">
        <v>45768</v>
      </c>
      <c r="C499" s="94">
        <v>477.27</v>
      </c>
      <c r="D499" s="76">
        <f t="shared" si="20"/>
        <v>1.1058150619637688E-2</v>
      </c>
      <c r="F499" s="94">
        <v>24039.35</v>
      </c>
      <c r="G499" s="76">
        <f t="shared" si="21"/>
        <v>7.8694765351662085E-3</v>
      </c>
    </row>
    <row r="500" spans="2:7" hidden="1" outlineLevel="1" x14ac:dyDescent="0.3">
      <c r="B500" s="99">
        <v>45775</v>
      </c>
      <c r="C500" s="94">
        <v>472.15</v>
      </c>
      <c r="D500" s="76">
        <f t="shared" si="20"/>
        <v>-1.0727680348649621E-2</v>
      </c>
      <c r="F500" s="94">
        <v>24346.7</v>
      </c>
      <c r="G500" s="76">
        <f t="shared" si="21"/>
        <v>1.2785287455775726E-2</v>
      </c>
    </row>
    <row r="501" spans="2:7" hidden="1" outlineLevel="1" x14ac:dyDescent="0.3">
      <c r="B501" s="99">
        <v>45782</v>
      </c>
      <c r="C501" s="94">
        <v>455.75</v>
      </c>
      <c r="D501" s="76">
        <f t="shared" si="20"/>
        <v>-3.4734724134279311E-2</v>
      </c>
      <c r="F501" s="94">
        <v>24008</v>
      </c>
      <c r="G501" s="76">
        <f t="shared" si="21"/>
        <v>-1.3911536265695175E-2</v>
      </c>
    </row>
    <row r="502" spans="2:7" hidden="1" outlineLevel="1" x14ac:dyDescent="0.3">
      <c r="B502" s="99">
        <v>45789</v>
      </c>
      <c r="C502" s="94">
        <v>469.44</v>
      </c>
      <c r="D502" s="76">
        <f t="shared" si="20"/>
        <v>3.0038398244651668E-2</v>
      </c>
      <c r="F502" s="94">
        <v>25019.8</v>
      </c>
      <c r="G502" s="76">
        <f t="shared" si="21"/>
        <v>4.2144285238253885E-2</v>
      </c>
    </row>
    <row r="503" spans="2:7" hidden="1" outlineLevel="1" x14ac:dyDescent="0.3">
      <c r="B503" s="99">
        <v>45796</v>
      </c>
      <c r="C503" s="94">
        <v>474.66</v>
      </c>
      <c r="D503" s="76">
        <f t="shared" si="20"/>
        <v>1.111963190184055E-2</v>
      </c>
      <c r="F503" s="94">
        <v>24853.15</v>
      </c>
      <c r="G503" s="76">
        <f t="shared" si="21"/>
        <v>-6.6607247060327347E-3</v>
      </c>
    </row>
    <row r="504" spans="2:7" hidden="1" outlineLevel="1" x14ac:dyDescent="0.3">
      <c r="B504" s="99">
        <v>45803</v>
      </c>
      <c r="C504" s="94">
        <v>475.64</v>
      </c>
      <c r="D504" s="76">
        <f t="shared" si="20"/>
        <v>2.0646357392659193E-3</v>
      </c>
      <c r="F504" s="94">
        <v>24750.7</v>
      </c>
      <c r="G504" s="76">
        <f t="shared" si="21"/>
        <v>-4.1222138843567402E-3</v>
      </c>
    </row>
    <row r="505" spans="2:7" hidden="1" outlineLevel="1" x14ac:dyDescent="0.3">
      <c r="B505" s="99">
        <v>45810</v>
      </c>
      <c r="C505" s="94">
        <v>473.97</v>
      </c>
      <c r="D505" s="76">
        <f t="shared" si="20"/>
        <v>-3.5110587839541651E-3</v>
      </c>
      <c r="F505" s="94">
        <v>25003.05</v>
      </c>
      <c r="G505" s="76">
        <f t="shared" si="21"/>
        <v>1.019567123354081E-2</v>
      </c>
    </row>
    <row r="506" spans="2:7" hidden="1" outlineLevel="1" x14ac:dyDescent="0.3">
      <c r="B506" s="99">
        <v>45817</v>
      </c>
      <c r="C506" s="94">
        <v>459.44</v>
      </c>
      <c r="D506" s="76">
        <f t="shared" si="20"/>
        <v>-3.0655948688735633E-2</v>
      </c>
      <c r="F506" s="94">
        <v>24718.6</v>
      </c>
      <c r="G506" s="76">
        <f t="shared" si="21"/>
        <v>-1.1376612053329523E-2</v>
      </c>
    </row>
    <row r="507" spans="2:7" hidden="1" outlineLevel="1" x14ac:dyDescent="0.3">
      <c r="B507" s="99">
        <v>45824</v>
      </c>
      <c r="C507" s="94">
        <v>459.84</v>
      </c>
      <c r="D507" s="76">
        <f t="shared" si="20"/>
        <v>8.706251088280891E-4</v>
      </c>
      <c r="F507" s="94">
        <v>25112.400000000001</v>
      </c>
      <c r="G507" s="76">
        <f t="shared" si="21"/>
        <v>1.5931322971365812E-2</v>
      </c>
    </row>
    <row r="508" spans="2:7" hidden="1" outlineLevel="1" x14ac:dyDescent="0.3">
      <c r="B508" s="99">
        <v>45831</v>
      </c>
      <c r="C508" s="94">
        <v>478.99</v>
      </c>
      <c r="D508" s="76">
        <f t="shared" si="20"/>
        <v>4.164491997216431E-2</v>
      </c>
      <c r="F508" s="94">
        <v>25637.8</v>
      </c>
      <c r="G508" s="76">
        <f t="shared" si="21"/>
        <v>2.0921934980328356E-2</v>
      </c>
    </row>
    <row r="509" spans="2:7" hidden="1" outlineLevel="1" x14ac:dyDescent="0.3">
      <c r="B509" s="99">
        <v>45838</v>
      </c>
      <c r="C509" s="94">
        <v>487.61</v>
      </c>
      <c r="D509" s="76">
        <f t="shared" si="20"/>
        <v>1.7996200338211664E-2</v>
      </c>
      <c r="F509" s="94">
        <v>25461</v>
      </c>
      <c r="G509" s="76">
        <f t="shared" si="21"/>
        <v>-6.8960675252946538E-3</v>
      </c>
    </row>
    <row r="510" spans="2:7" hidden="1" outlineLevel="1" x14ac:dyDescent="0.3">
      <c r="B510" s="99">
        <v>45845</v>
      </c>
      <c r="C510" s="94">
        <v>522.82000000000005</v>
      </c>
      <c r="D510" s="76">
        <f t="shared" si="20"/>
        <v>7.2209347634380014E-2</v>
      </c>
      <c r="F510" s="94">
        <v>25149.85</v>
      </c>
      <c r="G510" s="76">
        <f t="shared" si="21"/>
        <v>-1.2220651192019224E-2</v>
      </c>
    </row>
    <row r="511" spans="2:7" hidden="1" outlineLevel="1" x14ac:dyDescent="0.3">
      <c r="B511" s="99">
        <v>45852</v>
      </c>
      <c r="C511" s="94">
        <v>514.69000000000005</v>
      </c>
      <c r="D511" s="76">
        <f t="shared" si="20"/>
        <v>-1.5550284992922984E-2</v>
      </c>
      <c r="F511" s="94">
        <v>24968.400000000001</v>
      </c>
      <c r="G511" s="76">
        <f t="shared" si="21"/>
        <v>-7.2147547599686317E-3</v>
      </c>
    </row>
    <row r="512" spans="2:7" hidden="1" outlineLevel="1" x14ac:dyDescent="0.3">
      <c r="B512" s="99">
        <v>45859</v>
      </c>
      <c r="C512" s="94">
        <v>508.66</v>
      </c>
      <c r="D512" s="76">
        <f t="shared" si="20"/>
        <v>-1.1715790087237034E-2</v>
      </c>
      <c r="F512" s="94">
        <v>24837</v>
      </c>
      <c r="G512" s="76">
        <f t="shared" si="21"/>
        <v>-5.2626519921180953E-3</v>
      </c>
    </row>
    <row r="513" spans="2:7" hidden="1" outlineLevel="1" x14ac:dyDescent="0.3">
      <c r="B513" s="99">
        <v>45866</v>
      </c>
      <c r="C513" s="94">
        <v>531.54</v>
      </c>
      <c r="D513" s="76">
        <f t="shared" si="20"/>
        <v>4.4980930287421728E-2</v>
      </c>
      <c r="F513" s="94">
        <v>24565.35</v>
      </c>
      <c r="G513" s="76">
        <f t="shared" si="21"/>
        <v>-1.0937311269477048E-2</v>
      </c>
    </row>
    <row r="514" spans="2:7" hidden="1" outlineLevel="1" x14ac:dyDescent="0.3">
      <c r="B514" s="99">
        <v>45873</v>
      </c>
      <c r="C514" s="94">
        <v>504.59</v>
      </c>
      <c r="D514" s="76">
        <f t="shared" si="20"/>
        <v>-5.0701734582533749E-2</v>
      </c>
      <c r="F514" s="94">
        <v>24363.3</v>
      </c>
      <c r="G514" s="76">
        <f t="shared" si="21"/>
        <v>-8.224999847345928E-3</v>
      </c>
    </row>
    <row r="515" spans="2:7" hidden="1" outlineLevel="1" x14ac:dyDescent="0.3">
      <c r="B515" s="99">
        <v>45880</v>
      </c>
      <c r="C515" s="94">
        <v>498.27</v>
      </c>
      <c r="D515" s="76">
        <f t="shared" ref="D515:D555" si="22">(C515-C514)/C514</f>
        <v>-1.2525020313521856E-2</v>
      </c>
      <c r="F515" s="94">
        <v>24631.3</v>
      </c>
      <c r="G515" s="76">
        <f t="shared" ref="G515:G555" si="23">(F515-F514)/F514</f>
        <v>1.1000151867768324E-2</v>
      </c>
    </row>
    <row r="516" spans="2:7" hidden="1" outlineLevel="1" x14ac:dyDescent="0.3">
      <c r="B516" s="99">
        <v>45887</v>
      </c>
      <c r="C516" s="94">
        <v>513.24</v>
      </c>
      <c r="D516" s="76">
        <f t="shared" si="22"/>
        <v>3.0043952074176709E-2</v>
      </c>
      <c r="F516" s="94">
        <v>24870.1</v>
      </c>
      <c r="G516" s="76">
        <f t="shared" si="23"/>
        <v>9.6949815884666782E-3</v>
      </c>
    </row>
    <row r="517" spans="2:7" hidden="1" outlineLevel="1" x14ac:dyDescent="0.3">
      <c r="B517" s="99">
        <v>45894</v>
      </c>
      <c r="C517" s="94">
        <v>518.36</v>
      </c>
      <c r="D517" s="76">
        <f t="shared" si="22"/>
        <v>9.9758397630738144E-3</v>
      </c>
      <c r="F517" s="94">
        <v>24426.85</v>
      </c>
      <c r="G517" s="76">
        <f t="shared" si="23"/>
        <v>-1.7822606262138069E-2</v>
      </c>
    </row>
    <row r="518" spans="2:7" hidden="1" outlineLevel="1" x14ac:dyDescent="0.3">
      <c r="B518" s="99">
        <v>45901</v>
      </c>
      <c r="C518" s="94">
        <v>543.83000000000004</v>
      </c>
      <c r="D518" s="76">
        <f t="shared" si="22"/>
        <v>4.9135735782082003E-2</v>
      </c>
      <c r="F518" s="94">
        <v>24741</v>
      </c>
      <c r="G518" s="76">
        <f t="shared" si="23"/>
        <v>1.2860847796584557E-2</v>
      </c>
    </row>
    <row r="519" spans="2:7" hidden="1" outlineLevel="1" x14ac:dyDescent="0.3">
      <c r="B519" s="99">
        <v>45908</v>
      </c>
      <c r="C519" s="94">
        <v>536.02</v>
      </c>
      <c r="D519" s="76">
        <f t="shared" si="22"/>
        <v>-1.4361105492525346E-2</v>
      </c>
      <c r="F519" s="94">
        <v>25114</v>
      </c>
      <c r="G519" s="76">
        <f t="shared" si="23"/>
        <v>1.5076189321369386E-2</v>
      </c>
    </row>
    <row r="520" spans="2:7" hidden="1" outlineLevel="1" x14ac:dyDescent="0.3">
      <c r="B520" s="99">
        <v>45915</v>
      </c>
      <c r="C520" s="94">
        <v>532.64</v>
      </c>
      <c r="D520" s="76">
        <f t="shared" si="22"/>
        <v>-6.3057348606395201E-3</v>
      </c>
      <c r="F520" s="94">
        <v>25327.05</v>
      </c>
      <c r="G520" s="76">
        <f t="shared" si="23"/>
        <v>8.4833160786811843E-3</v>
      </c>
    </row>
    <row r="521" spans="2:7" hidden="1" outlineLevel="1" x14ac:dyDescent="0.3">
      <c r="B521" s="99">
        <v>45922</v>
      </c>
      <c r="C521" s="94">
        <v>497.13</v>
      </c>
      <c r="D521" s="76">
        <f t="shared" si="22"/>
        <v>-6.6667918293781894E-2</v>
      </c>
      <c r="F521" s="94">
        <v>24654.7</v>
      </c>
      <c r="G521" s="76">
        <f t="shared" si="23"/>
        <v>-2.6546715863079141E-2</v>
      </c>
    </row>
    <row r="522" spans="2:7" hidden="1" outlineLevel="1" x14ac:dyDescent="0.3">
      <c r="B522" s="99">
        <v>45929</v>
      </c>
      <c r="C522" s="94">
        <v>493.54</v>
      </c>
      <c r="D522" s="76">
        <f t="shared" si="22"/>
        <v>-7.2214511294831831E-3</v>
      </c>
      <c r="F522" s="94">
        <v>24894.25</v>
      </c>
      <c r="G522" s="76">
        <f t="shared" si="23"/>
        <v>9.7162001565624101E-3</v>
      </c>
    </row>
    <row r="523" spans="2:7" hidden="1" outlineLevel="1" x14ac:dyDescent="0.3">
      <c r="B523" s="99">
        <v>45936</v>
      </c>
      <c r="C523" s="94">
        <v>487.13</v>
      </c>
      <c r="D523" s="76">
        <f t="shared" si="22"/>
        <v>-1.2987802407099779E-2</v>
      </c>
      <c r="F523" s="94">
        <v>25285.35</v>
      </c>
      <c r="G523" s="76">
        <f t="shared" si="23"/>
        <v>1.5710455225604249E-2</v>
      </c>
    </row>
    <row r="524" spans="2:7" hidden="1" outlineLevel="1" x14ac:dyDescent="0.3">
      <c r="B524" s="99">
        <v>45943</v>
      </c>
      <c r="C524" s="94">
        <v>505.68</v>
      </c>
      <c r="D524" s="76">
        <f t="shared" si="22"/>
        <v>3.808018393447337E-2</v>
      </c>
      <c r="F524" s="94">
        <v>25709.85</v>
      </c>
      <c r="G524" s="76">
        <f t="shared" si="23"/>
        <v>1.6788377459675267E-2</v>
      </c>
    </row>
    <row r="525" spans="2:7" hidden="1" outlineLevel="1" x14ac:dyDescent="0.3">
      <c r="B525" s="99">
        <v>45950</v>
      </c>
      <c r="C525" s="94">
        <v>505.78</v>
      </c>
      <c r="D525" s="76">
        <f t="shared" si="22"/>
        <v>1.9775352001258876E-4</v>
      </c>
      <c r="F525" s="94">
        <v>25795.15</v>
      </c>
      <c r="G525" s="76">
        <f t="shared" si="23"/>
        <v>3.3177945417807927E-3</v>
      </c>
    </row>
    <row r="526" spans="2:7" hidden="1" outlineLevel="1" x14ac:dyDescent="0.3">
      <c r="B526" s="99">
        <v>45957</v>
      </c>
      <c r="C526" s="94">
        <v>484.99</v>
      </c>
      <c r="D526" s="76">
        <f t="shared" si="22"/>
        <v>-4.1104828186167827E-2</v>
      </c>
      <c r="F526" s="94">
        <v>25722.1</v>
      </c>
      <c r="G526" s="76">
        <f t="shared" si="23"/>
        <v>-2.8319277073404459E-3</v>
      </c>
    </row>
    <row r="527" spans="2:7" hidden="1" outlineLevel="1" x14ac:dyDescent="0.3">
      <c r="B527" s="99">
        <v>45964</v>
      </c>
      <c r="C527" s="94">
        <v>515.92999999999995</v>
      </c>
      <c r="D527" s="76">
        <f t="shared" si="22"/>
        <v>6.3795129796490532E-2</v>
      </c>
      <c r="F527" s="94">
        <v>25492.3</v>
      </c>
      <c r="G527" s="76">
        <f t="shared" si="23"/>
        <v>-8.933951737999591E-3</v>
      </c>
    </row>
    <row r="528" spans="2:7" hidden="1" outlineLevel="1" x14ac:dyDescent="0.3">
      <c r="B528" s="99">
        <v>45971</v>
      </c>
      <c r="C528" s="94">
        <v>525</v>
      </c>
      <c r="D528" s="76">
        <f t="shared" si="22"/>
        <v>1.7579904250576726E-2</v>
      </c>
      <c r="F528" s="94">
        <v>25910.05</v>
      </c>
      <c r="G528" s="76">
        <f t="shared" si="23"/>
        <v>1.638730126351879E-2</v>
      </c>
    </row>
    <row r="529" spans="2:7" hidden="1" outlineLevel="1" x14ac:dyDescent="0.3">
      <c r="B529" s="99">
        <v>45978</v>
      </c>
      <c r="C529" s="94">
        <v>515.65</v>
      </c>
      <c r="D529" s="76">
        <f t="shared" si="22"/>
        <v>-1.7809523809523851E-2</v>
      </c>
      <c r="F529" s="94">
        <v>26068.15</v>
      </c>
      <c r="G529" s="76">
        <f t="shared" si="23"/>
        <v>6.1018793865701606E-3</v>
      </c>
    </row>
    <row r="530" spans="2:7" hidden="1" outlineLevel="1" x14ac:dyDescent="0.3">
      <c r="B530" s="99">
        <v>45985</v>
      </c>
      <c r="C530" s="94">
        <v>517.4</v>
      </c>
      <c r="D530" s="76">
        <f t="shared" si="22"/>
        <v>3.3937748472801319E-3</v>
      </c>
      <c r="F530" s="94">
        <v>26202.95</v>
      </c>
      <c r="G530" s="76">
        <f t="shared" si="23"/>
        <v>5.1710612375638187E-3</v>
      </c>
    </row>
    <row r="531" spans="2:7" hidden="1" outlineLevel="1" x14ac:dyDescent="0.3">
      <c r="B531" s="99">
        <v>46006</v>
      </c>
      <c r="C531" s="94">
        <v>493.95</v>
      </c>
      <c r="D531" s="76">
        <f t="shared" si="22"/>
        <v>-4.5322767684576708E-2</v>
      </c>
      <c r="F531" s="94">
        <v>26186.45</v>
      </c>
      <c r="G531" s="76">
        <f t="shared" si="23"/>
        <v>-6.2970009102028589E-4</v>
      </c>
    </row>
    <row r="532" spans="2:7" hidden="1" outlineLevel="1" x14ac:dyDescent="0.3">
      <c r="B532" s="99">
        <v>46013</v>
      </c>
      <c r="C532" s="94">
        <v>488.2</v>
      </c>
      <c r="D532" s="76">
        <f t="shared" si="22"/>
        <v>-1.1640854337483551E-2</v>
      </c>
      <c r="F532" s="94">
        <v>26046.95</v>
      </c>
      <c r="G532" s="76">
        <f t="shared" si="23"/>
        <v>-5.327182569611383E-3</v>
      </c>
    </row>
    <row r="533" spans="2:7" hidden="1" outlineLevel="1" x14ac:dyDescent="0.3">
      <c r="B533" s="99">
        <v>46020</v>
      </c>
      <c r="C533" s="94">
        <v>522.6</v>
      </c>
      <c r="D533" s="76">
        <f t="shared" si="22"/>
        <v>7.0462925030725182E-2</v>
      </c>
      <c r="F533" s="94">
        <v>25966.400000000001</v>
      </c>
      <c r="G533" s="76">
        <f t="shared" si="23"/>
        <v>-3.0924925951022774E-3</v>
      </c>
    </row>
    <row r="534" spans="2:7" hidden="1" outlineLevel="1" x14ac:dyDescent="0.3">
      <c r="B534" s="99">
        <v>46027</v>
      </c>
      <c r="C534" s="94">
        <v>522.4</v>
      </c>
      <c r="D534" s="76">
        <f t="shared" si="22"/>
        <v>-3.8270187523927569E-4</v>
      </c>
      <c r="F534" s="94">
        <v>26042.3</v>
      </c>
      <c r="G534" s="76">
        <f t="shared" si="23"/>
        <v>2.9230081952060284E-3</v>
      </c>
    </row>
    <row r="535" spans="2:7" hidden="1" outlineLevel="1" x14ac:dyDescent="0.3">
      <c r="B535" s="99">
        <v>46034</v>
      </c>
      <c r="C535" s="94">
        <v>514.54999999999995</v>
      </c>
      <c r="D535" s="76">
        <f t="shared" si="22"/>
        <v>-1.5026799387442617E-2</v>
      </c>
      <c r="F535" s="94">
        <v>26328.55</v>
      </c>
      <c r="G535" s="76">
        <f t="shared" si="23"/>
        <v>1.0991732681061198E-2</v>
      </c>
    </row>
    <row r="536" spans="2:7" hidden="1" outlineLevel="1" x14ac:dyDescent="0.3">
      <c r="B536" s="99">
        <v>46041</v>
      </c>
      <c r="C536" s="94">
        <v>519</v>
      </c>
      <c r="D536" s="76">
        <f t="shared" si="22"/>
        <v>8.6483334952872325E-3</v>
      </c>
      <c r="F536" s="94">
        <v>25683.3</v>
      </c>
      <c r="G536" s="76">
        <f t="shared" si="23"/>
        <v>-2.450761625687704E-2</v>
      </c>
    </row>
    <row r="537" spans="2:7" hidden="1" outlineLevel="1" x14ac:dyDescent="0.3">
      <c r="B537" s="99">
        <v>46048</v>
      </c>
      <c r="C537" s="94">
        <v>502.1</v>
      </c>
      <c r="D537" s="76">
        <f t="shared" si="22"/>
        <v>-3.2562620423892054E-2</v>
      </c>
      <c r="F537" s="94">
        <v>25694.35</v>
      </c>
      <c r="G537" s="76">
        <f t="shared" si="23"/>
        <v>4.3024066222016925E-4</v>
      </c>
    </row>
    <row r="538" spans="2:7" hidden="1" outlineLevel="1" x14ac:dyDescent="0.3">
      <c r="B538" s="99">
        <v>46055</v>
      </c>
      <c r="C538" s="94">
        <v>508.3</v>
      </c>
      <c r="D538" s="76">
        <f t="shared" si="22"/>
        <v>1.2348137821151142E-2</v>
      </c>
      <c r="F538" s="94">
        <v>25048.65</v>
      </c>
      <c r="G538" s="76">
        <f t="shared" si="23"/>
        <v>-2.5130038315816401E-2</v>
      </c>
    </row>
    <row r="539" spans="2:7" hidden="1" outlineLevel="1" x14ac:dyDescent="0.3">
      <c r="B539" s="99">
        <v>46062</v>
      </c>
      <c r="C539" s="94">
        <v>512.45000000000005</v>
      </c>
      <c r="D539" s="76">
        <f t="shared" si="22"/>
        <v>8.1644698012985125E-3</v>
      </c>
      <c r="F539" s="94">
        <v>24825.45</v>
      </c>
      <c r="G539" s="76">
        <f t="shared" si="23"/>
        <v>-8.9106598559204071E-3</v>
      </c>
    </row>
    <row r="540" spans="2:7" hidden="1" outlineLevel="1" x14ac:dyDescent="0.3">
      <c r="B540" s="99">
        <v>46069</v>
      </c>
      <c r="C540" s="94">
        <v>509.7</v>
      </c>
      <c r="D540" s="76">
        <f t="shared" si="22"/>
        <v>-5.3663772075325522E-3</v>
      </c>
      <c r="F540" s="94">
        <v>25693.7</v>
      </c>
      <c r="G540" s="76">
        <f t="shared" si="23"/>
        <v>3.4974189793135671E-2</v>
      </c>
    </row>
    <row r="541" spans="2:7" hidden="1" outlineLevel="1" x14ac:dyDescent="0.3">
      <c r="B541" s="99">
        <v>46076</v>
      </c>
      <c r="C541" s="94">
        <v>518.5</v>
      </c>
      <c r="D541" s="76">
        <f t="shared" si="22"/>
        <v>1.7265057877182678E-2</v>
      </c>
      <c r="F541" s="94">
        <v>25471.1</v>
      </c>
      <c r="G541" s="76">
        <f t="shared" si="23"/>
        <v>-8.6636023616685088E-3</v>
      </c>
    </row>
    <row r="542" spans="2:7" hidden="1" outlineLevel="1" x14ac:dyDescent="0.3">
      <c r="B542" s="99">
        <v>46083</v>
      </c>
      <c r="C542" s="94">
        <v>478.6</v>
      </c>
      <c r="D542" s="76">
        <f t="shared" si="22"/>
        <v>-7.6952748312439687E-2</v>
      </c>
      <c r="F542" s="94">
        <v>25571.25</v>
      </c>
      <c r="G542" s="76">
        <f t="shared" si="23"/>
        <v>3.93190714181961E-3</v>
      </c>
    </row>
    <row r="543" spans="2:7" hidden="1" outlineLevel="1" x14ac:dyDescent="0.3">
      <c r="B543" s="99">
        <v>46090</v>
      </c>
      <c r="C543" s="94">
        <v>453.5</v>
      </c>
      <c r="D543" s="76">
        <f t="shared" si="22"/>
        <v>-5.24446301713331E-2</v>
      </c>
      <c r="F543" s="94">
        <v>25178.65</v>
      </c>
      <c r="G543" s="76">
        <f t="shared" si="23"/>
        <v>-1.5353179840641289E-2</v>
      </c>
    </row>
    <row r="544" spans="2:7" hidden="1" outlineLevel="1" x14ac:dyDescent="0.3">
      <c r="B544" s="99">
        <v>46097</v>
      </c>
      <c r="C544" s="94">
        <v>430.7</v>
      </c>
      <c r="D544" s="76">
        <f t="shared" si="22"/>
        <v>-5.0275633958103666E-2</v>
      </c>
      <c r="F544" s="94">
        <v>24450.45</v>
      </c>
      <c r="G544" s="76">
        <f t="shared" si="23"/>
        <v>-2.8921328188763126E-2</v>
      </c>
    </row>
    <row r="545" spans="2:13" hidden="1" outlineLevel="1" x14ac:dyDescent="0.3">
      <c r="B545" s="99">
        <v>46104</v>
      </c>
      <c r="C545" s="94">
        <v>419.6</v>
      </c>
      <c r="D545" s="76">
        <f t="shared" si="22"/>
        <v>-2.5771999071279233E-2</v>
      </c>
      <c r="F545" s="94">
        <v>23151.1</v>
      </c>
      <c r="G545" s="76">
        <f t="shared" si="23"/>
        <v>-5.3142171207482977E-2</v>
      </c>
    </row>
    <row r="546" spans="2:13" hidden="1" outlineLevel="1" x14ac:dyDescent="0.3">
      <c r="B546" s="99">
        <v>46111</v>
      </c>
      <c r="C546" s="94">
        <v>417.25</v>
      </c>
      <c r="D546" s="76">
        <f t="shared" si="22"/>
        <v>-5.6005719733079658E-3</v>
      </c>
      <c r="F546" s="94">
        <v>23114.5</v>
      </c>
      <c r="G546" s="76">
        <f t="shared" si="23"/>
        <v>-1.5809184012854052E-3</v>
      </c>
    </row>
    <row r="547" spans="2:13" hidden="1" outlineLevel="1" x14ac:dyDescent="0.3">
      <c r="B547" s="99">
        <v>46118</v>
      </c>
      <c r="C547" s="94">
        <v>435.7</v>
      </c>
      <c r="D547" s="76">
        <f t="shared" si="22"/>
        <v>4.421809466746552E-2</v>
      </c>
      <c r="F547" s="94">
        <v>22819.599999999999</v>
      </c>
      <c r="G547" s="76">
        <f t="shared" si="23"/>
        <v>-1.2758225356378093E-2</v>
      </c>
    </row>
    <row r="548" spans="2:13" hidden="1" outlineLevel="1" x14ac:dyDescent="0.3">
      <c r="B548" s="99">
        <v>46125</v>
      </c>
      <c r="C548" s="94">
        <v>442.85</v>
      </c>
      <c r="D548" s="76">
        <f t="shared" si="22"/>
        <v>1.6410374110626656E-2</v>
      </c>
      <c r="F548" s="94">
        <v>22713.1</v>
      </c>
      <c r="G548" s="76">
        <f t="shared" si="23"/>
        <v>-4.6670406142088382E-3</v>
      </c>
    </row>
    <row r="549" spans="2:13" hidden="1" outlineLevel="1" x14ac:dyDescent="0.3">
      <c r="B549" s="99">
        <v>46132</v>
      </c>
      <c r="C549" s="94">
        <v>451.1</v>
      </c>
      <c r="D549" s="76">
        <f t="shared" si="22"/>
        <v>1.8629332731173082E-2</v>
      </c>
      <c r="F549" s="94">
        <v>24050.6</v>
      </c>
      <c r="G549" s="76">
        <f t="shared" si="23"/>
        <v>5.8886721759689349E-2</v>
      </c>
    </row>
    <row r="550" spans="2:13" hidden="1" outlineLevel="1" x14ac:dyDescent="0.3">
      <c r="B550" s="99">
        <v>46139</v>
      </c>
      <c r="C550" s="94">
        <v>441.5</v>
      </c>
      <c r="D550" s="76">
        <f t="shared" si="22"/>
        <v>-2.1281312347594818E-2</v>
      </c>
      <c r="F550" s="94">
        <v>24353.55</v>
      </c>
      <c r="G550" s="76">
        <f t="shared" si="23"/>
        <v>1.2596359342386499E-2</v>
      </c>
    </row>
    <row r="551" spans="2:13" hidden="1" outlineLevel="1" x14ac:dyDescent="0.3">
      <c r="B551" s="99">
        <v>46146</v>
      </c>
      <c r="C551" s="94">
        <v>487.7</v>
      </c>
      <c r="D551" s="76">
        <f t="shared" si="22"/>
        <v>0.104643261608154</v>
      </c>
      <c r="F551" s="94">
        <v>23897.95</v>
      </c>
      <c r="G551" s="76">
        <f t="shared" si="23"/>
        <v>-1.8707744866764745E-2</v>
      </c>
    </row>
    <row r="552" spans="2:13" hidden="1" outlineLevel="1" x14ac:dyDescent="0.3">
      <c r="B552" s="99">
        <v>46153</v>
      </c>
      <c r="C552" s="94">
        <v>473.25</v>
      </c>
      <c r="D552" s="76">
        <f t="shared" si="22"/>
        <v>-2.9628870207094503E-2</v>
      </c>
      <c r="F552" s="94">
        <v>23997.55</v>
      </c>
      <c r="G552" s="76">
        <f t="shared" si="23"/>
        <v>4.1677214991243409E-3</v>
      </c>
    </row>
    <row r="553" spans="2:13" hidden="1" outlineLevel="1" x14ac:dyDescent="0.3">
      <c r="B553" s="99">
        <v>46155</v>
      </c>
      <c r="C553" s="94">
        <v>463.1</v>
      </c>
      <c r="D553" s="76">
        <f t="shared" si="22"/>
        <v>-2.1447437929212842E-2</v>
      </c>
      <c r="F553" s="94">
        <v>24176.15</v>
      </c>
      <c r="G553" s="76">
        <f t="shared" si="23"/>
        <v>7.4424264143632237E-3</v>
      </c>
    </row>
    <row r="554" spans="2:13" hidden="1" outlineLevel="1" x14ac:dyDescent="0.3">
      <c r="B554" s="99">
        <v>46357</v>
      </c>
      <c r="C554" s="94">
        <v>510.1</v>
      </c>
      <c r="D554" s="76">
        <f t="shared" si="22"/>
        <v>0.10148995897214425</v>
      </c>
      <c r="F554" s="94">
        <v>23379.55</v>
      </c>
      <c r="G554" s="76">
        <f t="shared" si="23"/>
        <v>-3.2949828653445735E-2</v>
      </c>
    </row>
    <row r="555" spans="2:13" hidden="1" outlineLevel="1" x14ac:dyDescent="0.3">
      <c r="B555" s="99">
        <v>46364</v>
      </c>
      <c r="C555" s="94">
        <v>495</v>
      </c>
      <c r="D555" s="76">
        <f t="shared" si="22"/>
        <v>-2.960203881591849E-2</v>
      </c>
      <c r="F555" s="94">
        <v>23472.799999999999</v>
      </c>
      <c r="G555" s="76">
        <f t="shared" si="23"/>
        <v>3.9885284361760595E-3</v>
      </c>
    </row>
    <row r="556" spans="2:13" collapsed="1" x14ac:dyDescent="0.3"/>
    <row r="558" spans="2:13" x14ac:dyDescent="0.3">
      <c r="B558" s="199" t="s">
        <v>441</v>
      </c>
      <c r="C558" s="199"/>
      <c r="D558" s="199"/>
      <c r="F558" s="199" t="s">
        <v>253</v>
      </c>
      <c r="G558" s="199"/>
      <c r="I558" s="199" t="s">
        <v>252</v>
      </c>
      <c r="J558" s="199"/>
    </row>
    <row r="559" spans="2:13" hidden="1" outlineLevel="1" x14ac:dyDescent="0.3"/>
    <row r="560" spans="2:13" hidden="1" outlineLevel="1" x14ac:dyDescent="0.3">
      <c r="B560" s="67" t="s">
        <v>251</v>
      </c>
      <c r="C560" s="98" t="s">
        <v>250</v>
      </c>
      <c r="D560" s="67" t="s">
        <v>249</v>
      </c>
      <c r="F560" s="98" t="s">
        <v>250</v>
      </c>
      <c r="G560" s="67" t="s">
        <v>249</v>
      </c>
      <c r="I560" s="59" t="s">
        <v>248</v>
      </c>
      <c r="J560" s="77">
        <f>M560</f>
        <v>0.92361607850690475</v>
      </c>
      <c r="L560" s="145" t="s">
        <v>247</v>
      </c>
      <c r="M560" s="77">
        <f>SLOPE(D562:D666,G562:G666)</f>
        <v>0.92361607850690475</v>
      </c>
    </row>
    <row r="561" spans="2:13" hidden="1" outlineLevel="1" x14ac:dyDescent="0.3">
      <c r="B561" s="99">
        <v>45425</v>
      </c>
      <c r="C561" s="94">
        <v>496.9</v>
      </c>
      <c r="D561" s="97" t="s">
        <v>59</v>
      </c>
      <c r="F561" s="94">
        <v>22466.1</v>
      </c>
      <c r="G561" s="97" t="s">
        <v>59</v>
      </c>
      <c r="I561" s="59" t="s">
        <v>246</v>
      </c>
      <c r="J561" s="60">
        <v>0.75</v>
      </c>
      <c r="L561" s="145" t="s">
        <v>245</v>
      </c>
      <c r="M561" s="77">
        <f>_xlfn.COVARIANCE.S(D562:D666,G562:G666)/_xlfn.VAR.S(G562:G666)</f>
        <v>0.9236160785069043</v>
      </c>
    </row>
    <row r="562" spans="2:13" hidden="1" outlineLevel="1" x14ac:dyDescent="0.3">
      <c r="B562" s="99">
        <v>45432</v>
      </c>
      <c r="C562" s="94">
        <v>523.97</v>
      </c>
      <c r="D562" s="76">
        <f t="shared" ref="D562:D593" si="24">(C562-C561)/C561</f>
        <v>5.4477762125176195E-2</v>
      </c>
      <c r="F562" s="94">
        <v>22957.1</v>
      </c>
      <c r="G562" s="76">
        <f t="shared" ref="G562:G625" si="25">(F562-F561)/F561</f>
        <v>2.1855150649200353E-2</v>
      </c>
      <c r="I562" s="59" t="s">
        <v>244</v>
      </c>
      <c r="J562" s="59">
        <v>1</v>
      </c>
    </row>
    <row r="563" spans="2:13" hidden="1" outlineLevel="1" x14ac:dyDescent="0.3">
      <c r="B563" s="99">
        <v>45439</v>
      </c>
      <c r="C563" s="94">
        <v>601.59</v>
      </c>
      <c r="D563" s="76">
        <f t="shared" si="24"/>
        <v>0.14813825219001087</v>
      </c>
      <c r="F563" s="94">
        <v>22530.7</v>
      </c>
      <c r="G563" s="76">
        <f t="shared" si="25"/>
        <v>-1.8573774562117944E-2</v>
      </c>
      <c r="I563" s="59" t="s">
        <v>242</v>
      </c>
      <c r="J563" s="60">
        <v>0.25</v>
      </c>
    </row>
    <row r="564" spans="2:13" hidden="1" outlineLevel="1" x14ac:dyDescent="0.3">
      <c r="B564" s="99">
        <v>45446</v>
      </c>
      <c r="C564" s="94">
        <v>694.64</v>
      </c>
      <c r="D564" s="76">
        <f t="shared" si="24"/>
        <v>0.15467344869429336</v>
      </c>
      <c r="F564" s="94">
        <v>23290.15</v>
      </c>
      <c r="G564" s="76">
        <f t="shared" si="25"/>
        <v>3.3707341538434257E-2</v>
      </c>
      <c r="I564" s="96" t="s">
        <v>241</v>
      </c>
      <c r="J564" s="95">
        <f>(J560*J561)+(J562*J563)</f>
        <v>0.94271205888017851</v>
      </c>
    </row>
    <row r="565" spans="2:13" hidden="1" outlineLevel="1" x14ac:dyDescent="0.3">
      <c r="B565" s="99">
        <v>45453</v>
      </c>
      <c r="C565" s="94">
        <v>682.86</v>
      </c>
      <c r="D565" s="76">
        <f t="shared" si="24"/>
        <v>-1.6958424507658606E-2</v>
      </c>
      <c r="F565" s="94">
        <v>23465.599999999999</v>
      </c>
      <c r="G565" s="76">
        <f t="shared" si="25"/>
        <v>7.5332275661598178E-3</v>
      </c>
    </row>
    <row r="566" spans="2:13" hidden="1" outlineLevel="1" x14ac:dyDescent="0.3">
      <c r="B566" s="99">
        <v>45460</v>
      </c>
      <c r="C566" s="94">
        <v>674.25</v>
      </c>
      <c r="D566" s="76">
        <f t="shared" si="24"/>
        <v>-1.2608733854670083E-2</v>
      </c>
      <c r="F566" s="94">
        <v>23501.1</v>
      </c>
      <c r="G566" s="76">
        <f t="shared" si="25"/>
        <v>1.5128528569480432E-3</v>
      </c>
    </row>
    <row r="567" spans="2:13" hidden="1" outlineLevel="1" x14ac:dyDescent="0.3">
      <c r="B567" s="99">
        <v>45467</v>
      </c>
      <c r="C567" s="94">
        <v>662.95</v>
      </c>
      <c r="D567" s="76">
        <f t="shared" si="24"/>
        <v>-1.6759362254356626E-2</v>
      </c>
      <c r="F567" s="94">
        <v>24010.6</v>
      </c>
      <c r="G567" s="76">
        <f t="shared" si="25"/>
        <v>2.1679836262983435E-2</v>
      </c>
    </row>
    <row r="568" spans="2:13" hidden="1" outlineLevel="1" x14ac:dyDescent="0.3">
      <c r="B568" s="99">
        <v>45474</v>
      </c>
      <c r="C568" s="94">
        <v>696.52</v>
      </c>
      <c r="D568" s="76">
        <f t="shared" si="24"/>
        <v>5.0637302964024335E-2</v>
      </c>
      <c r="F568" s="94">
        <v>24323.85</v>
      </c>
      <c r="G568" s="76">
        <f t="shared" si="25"/>
        <v>1.3046321208133075E-2</v>
      </c>
    </row>
    <row r="569" spans="2:13" hidden="1" outlineLevel="1" x14ac:dyDescent="0.3">
      <c r="B569" s="99">
        <v>45481</v>
      </c>
      <c r="C569" s="94">
        <v>734.36</v>
      </c>
      <c r="D569" s="76">
        <f t="shared" si="24"/>
        <v>5.4327226784586277E-2</v>
      </c>
      <c r="F569" s="94">
        <v>24502.15</v>
      </c>
      <c r="G569" s="76">
        <f t="shared" si="25"/>
        <v>7.3302540510652272E-3</v>
      </c>
    </row>
    <row r="570" spans="2:13" hidden="1" outlineLevel="1" x14ac:dyDescent="0.3">
      <c r="B570" s="99">
        <v>45488</v>
      </c>
      <c r="C570" s="94">
        <v>769.23</v>
      </c>
      <c r="D570" s="76">
        <f t="shared" si="24"/>
        <v>4.7483523067705216E-2</v>
      </c>
      <c r="F570" s="94">
        <v>24530.9</v>
      </c>
      <c r="G570" s="76">
        <f t="shared" si="25"/>
        <v>1.1733664188652831E-3</v>
      </c>
    </row>
    <row r="571" spans="2:13" hidden="1" outlineLevel="1" x14ac:dyDescent="0.3">
      <c r="B571" s="99">
        <v>45495</v>
      </c>
      <c r="C571" s="94">
        <v>766.63</v>
      </c>
      <c r="D571" s="76">
        <f t="shared" si="24"/>
        <v>-3.3800033800034093E-3</v>
      </c>
      <c r="F571" s="94">
        <v>24834.85</v>
      </c>
      <c r="G571" s="76">
        <f t="shared" si="25"/>
        <v>1.2390495252925782E-2</v>
      </c>
    </row>
    <row r="572" spans="2:13" hidden="1" outlineLevel="1" x14ac:dyDescent="0.3">
      <c r="B572" s="99">
        <v>45502</v>
      </c>
      <c r="C572" s="94">
        <v>749.46</v>
      </c>
      <c r="D572" s="76">
        <f t="shared" si="24"/>
        <v>-2.2396723321550106E-2</v>
      </c>
      <c r="F572" s="94">
        <v>24717.7</v>
      </c>
      <c r="G572" s="76">
        <f t="shared" si="25"/>
        <v>-4.7171615693268861E-3</v>
      </c>
    </row>
    <row r="573" spans="2:13" hidden="1" outlineLevel="1" x14ac:dyDescent="0.3">
      <c r="B573" s="99">
        <v>45509</v>
      </c>
      <c r="C573" s="94">
        <v>767.01</v>
      </c>
      <c r="D573" s="76">
        <f t="shared" si="24"/>
        <v>2.3416860139300236E-2</v>
      </c>
      <c r="F573" s="94">
        <v>24367.5</v>
      </c>
      <c r="G573" s="76">
        <f t="shared" si="25"/>
        <v>-1.416798488532512E-2</v>
      </c>
    </row>
    <row r="574" spans="2:13" hidden="1" outlineLevel="1" x14ac:dyDescent="0.3">
      <c r="B574" s="99">
        <v>45516</v>
      </c>
      <c r="C574" s="94">
        <v>792.84</v>
      </c>
      <c r="D574" s="76">
        <f t="shared" si="24"/>
        <v>3.3676223256541689E-2</v>
      </c>
      <c r="F574" s="94">
        <v>24541.15</v>
      </c>
      <c r="G574" s="76">
        <f t="shared" si="25"/>
        <v>7.1262952703396512E-3</v>
      </c>
    </row>
    <row r="575" spans="2:13" hidden="1" outlineLevel="1" x14ac:dyDescent="0.3">
      <c r="B575" s="99">
        <v>45523</v>
      </c>
      <c r="C575" s="94">
        <v>778.17</v>
      </c>
      <c r="D575" s="76">
        <f t="shared" si="24"/>
        <v>-1.8503102769789708E-2</v>
      </c>
      <c r="F575" s="94">
        <v>24823.15</v>
      </c>
      <c r="G575" s="76">
        <f t="shared" si="25"/>
        <v>1.1490904052988551E-2</v>
      </c>
    </row>
    <row r="576" spans="2:13" hidden="1" outlineLevel="1" x14ac:dyDescent="0.3">
      <c r="B576" s="99">
        <v>45530</v>
      </c>
      <c r="C576" s="94">
        <v>782.11</v>
      </c>
      <c r="D576" s="76">
        <f t="shared" si="24"/>
        <v>5.0631610059499272E-3</v>
      </c>
      <c r="F576" s="94">
        <v>25235.9</v>
      </c>
      <c r="G576" s="76">
        <f t="shared" si="25"/>
        <v>1.6627623810837867E-2</v>
      </c>
    </row>
    <row r="577" spans="2:7" hidden="1" outlineLevel="1" x14ac:dyDescent="0.3">
      <c r="B577" s="99">
        <v>45537</v>
      </c>
      <c r="C577" s="94">
        <v>800.87</v>
      </c>
      <c r="D577" s="76">
        <f t="shared" si="24"/>
        <v>2.3986395775530283E-2</v>
      </c>
      <c r="F577" s="94">
        <v>24852.15</v>
      </c>
      <c r="G577" s="76">
        <f t="shared" si="25"/>
        <v>-1.5206511358818191E-2</v>
      </c>
    </row>
    <row r="578" spans="2:7" hidden="1" outlineLevel="1" x14ac:dyDescent="0.3">
      <c r="B578" s="99">
        <v>45544</v>
      </c>
      <c r="C578" s="94">
        <v>757.93</v>
      </c>
      <c r="D578" s="76">
        <f t="shared" si="24"/>
        <v>-5.3616691847615784E-2</v>
      </c>
      <c r="F578" s="94">
        <v>25356.5</v>
      </c>
      <c r="G578" s="76">
        <f t="shared" si="25"/>
        <v>2.029401882734486E-2</v>
      </c>
    </row>
    <row r="579" spans="2:7" hidden="1" outlineLevel="1" x14ac:dyDescent="0.3">
      <c r="B579" s="99">
        <v>45551</v>
      </c>
      <c r="C579" s="94">
        <v>718.97</v>
      </c>
      <c r="D579" s="76">
        <f t="shared" si="24"/>
        <v>-5.1403163880569348E-2</v>
      </c>
      <c r="F579" s="94">
        <v>25790.95</v>
      </c>
      <c r="G579" s="76">
        <f t="shared" si="25"/>
        <v>1.7133673811448771E-2</v>
      </c>
    </row>
    <row r="580" spans="2:7" hidden="1" outlineLevel="1" x14ac:dyDescent="0.3">
      <c r="B580" s="99">
        <v>45558</v>
      </c>
      <c r="C580" s="94">
        <v>722.92</v>
      </c>
      <c r="D580" s="76">
        <f t="shared" si="24"/>
        <v>5.4939705411907753E-3</v>
      </c>
      <c r="F580" s="94">
        <v>26178.95</v>
      </c>
      <c r="G580" s="76">
        <f t="shared" si="25"/>
        <v>1.5044036764834175E-2</v>
      </c>
    </row>
    <row r="581" spans="2:7" hidden="1" outlineLevel="1" x14ac:dyDescent="0.3">
      <c r="B581" s="99">
        <v>45565</v>
      </c>
      <c r="C581" s="94">
        <v>714.45</v>
      </c>
      <c r="D581" s="76">
        <f t="shared" si="24"/>
        <v>-1.1716372489348634E-2</v>
      </c>
      <c r="F581" s="94">
        <v>25014.6</v>
      </c>
      <c r="G581" s="76">
        <f t="shared" si="25"/>
        <v>-4.4476573735768708E-2</v>
      </c>
    </row>
    <row r="582" spans="2:7" hidden="1" outlineLevel="1" x14ac:dyDescent="0.3">
      <c r="B582" s="99">
        <v>45572</v>
      </c>
      <c r="C582" s="94">
        <v>702.34</v>
      </c>
      <c r="D582" s="76">
        <f t="shared" si="24"/>
        <v>-1.6950101476660387E-2</v>
      </c>
      <c r="F582" s="94">
        <v>24964.25</v>
      </c>
      <c r="G582" s="76">
        <f t="shared" si="25"/>
        <v>-2.012824510485818E-3</v>
      </c>
    </row>
    <row r="583" spans="2:7" hidden="1" outlineLevel="1" x14ac:dyDescent="0.3">
      <c r="B583" s="99">
        <v>45579</v>
      </c>
      <c r="C583" s="94">
        <v>674.06</v>
      </c>
      <c r="D583" s="76">
        <f t="shared" si="24"/>
        <v>-4.0265398524931065E-2</v>
      </c>
      <c r="F583" s="94">
        <v>24854.05</v>
      </c>
      <c r="G583" s="76">
        <f t="shared" si="25"/>
        <v>-4.4143124668275923E-3</v>
      </c>
    </row>
    <row r="584" spans="2:7" hidden="1" outlineLevel="1" x14ac:dyDescent="0.3">
      <c r="B584" s="99">
        <v>45586</v>
      </c>
      <c r="C584" s="94">
        <v>620.82000000000005</v>
      </c>
      <c r="D584" s="76">
        <f t="shared" si="24"/>
        <v>-7.8984066700293593E-2</v>
      </c>
      <c r="F584" s="94">
        <v>24180.799999999999</v>
      </c>
      <c r="G584" s="76">
        <f t="shared" si="25"/>
        <v>-2.7088140564616229E-2</v>
      </c>
    </row>
    <row r="585" spans="2:7" hidden="1" outlineLevel="1" x14ac:dyDescent="0.3">
      <c r="B585" s="99">
        <v>45593</v>
      </c>
      <c r="C585" s="94">
        <v>689.06</v>
      </c>
      <c r="D585" s="76">
        <f t="shared" si="24"/>
        <v>0.10991913920298942</v>
      </c>
      <c r="F585" s="94">
        <v>24304.35</v>
      </c>
      <c r="G585" s="76">
        <f t="shared" si="25"/>
        <v>5.1094256600277606E-3</v>
      </c>
    </row>
    <row r="586" spans="2:7" hidden="1" outlineLevel="1" x14ac:dyDescent="0.3">
      <c r="B586" s="99">
        <v>45600</v>
      </c>
      <c r="C586" s="94">
        <v>644.24</v>
      </c>
      <c r="D586" s="76">
        <f t="shared" si="24"/>
        <v>-6.5045133950599285E-2</v>
      </c>
      <c r="F586" s="94">
        <v>24148.2</v>
      </c>
      <c r="G586" s="76">
        <f t="shared" si="25"/>
        <v>-6.424775811737316E-3</v>
      </c>
    </row>
    <row r="587" spans="2:7" hidden="1" outlineLevel="1" x14ac:dyDescent="0.3">
      <c r="B587" s="99">
        <v>45607</v>
      </c>
      <c r="C587" s="94">
        <v>618.28</v>
      </c>
      <c r="D587" s="76">
        <f t="shared" si="24"/>
        <v>-4.0295542034024641E-2</v>
      </c>
      <c r="F587" s="94">
        <v>23532.7</v>
      </c>
      <c r="G587" s="76">
        <f t="shared" si="25"/>
        <v>-2.5488442202731467E-2</v>
      </c>
    </row>
    <row r="588" spans="2:7" hidden="1" outlineLevel="1" x14ac:dyDescent="0.3">
      <c r="B588" s="99">
        <v>45614</v>
      </c>
      <c r="C588" s="94">
        <v>614.42999999999995</v>
      </c>
      <c r="D588" s="76">
        <f t="shared" si="24"/>
        <v>-6.2269521899463399E-3</v>
      </c>
      <c r="F588" s="94">
        <v>23907.25</v>
      </c>
      <c r="G588" s="76">
        <f t="shared" si="25"/>
        <v>1.5916150717937137E-2</v>
      </c>
    </row>
    <row r="589" spans="2:7" hidden="1" outlineLevel="1" x14ac:dyDescent="0.3">
      <c r="B589" s="99">
        <v>45621</v>
      </c>
      <c r="C589" s="94">
        <v>661.97</v>
      </c>
      <c r="D589" s="76">
        <f t="shared" si="24"/>
        <v>7.7372524128053774E-2</v>
      </c>
      <c r="F589" s="94">
        <v>24131.1</v>
      </c>
      <c r="G589" s="76">
        <f t="shared" si="25"/>
        <v>9.3632684645870417E-3</v>
      </c>
    </row>
    <row r="590" spans="2:7" hidden="1" outlineLevel="1" x14ac:dyDescent="0.3">
      <c r="B590" s="99">
        <v>45628</v>
      </c>
      <c r="C590" s="94">
        <v>621.80999999999995</v>
      </c>
      <c r="D590" s="76">
        <f t="shared" si="24"/>
        <v>-6.0667401846005227E-2</v>
      </c>
      <c r="F590" s="94">
        <v>24677.8</v>
      </c>
      <c r="G590" s="76">
        <f t="shared" si="25"/>
        <v>2.265541148144928E-2</v>
      </c>
    </row>
    <row r="591" spans="2:7" hidden="1" outlineLevel="1" x14ac:dyDescent="0.3">
      <c r="B591" s="99">
        <v>45635</v>
      </c>
      <c r="C591" s="94">
        <v>572.98</v>
      </c>
      <c r="D591" s="76">
        <f t="shared" si="24"/>
        <v>-7.8528811051607292E-2</v>
      </c>
      <c r="F591" s="94">
        <v>24768.3</v>
      </c>
      <c r="G591" s="76">
        <f t="shared" si="25"/>
        <v>3.6672636944946472E-3</v>
      </c>
    </row>
    <row r="592" spans="2:7" hidden="1" outlineLevel="1" x14ac:dyDescent="0.3">
      <c r="B592" s="99">
        <v>45642</v>
      </c>
      <c r="C592" s="94">
        <v>571.82000000000005</v>
      </c>
      <c r="D592" s="76">
        <f t="shared" si="24"/>
        <v>-2.0245034730705575E-3</v>
      </c>
      <c r="F592" s="94">
        <v>23587.5</v>
      </c>
      <c r="G592" s="76">
        <f t="shared" si="25"/>
        <v>-4.7673841159869647E-2</v>
      </c>
    </row>
    <row r="593" spans="2:7" hidden="1" outlineLevel="1" x14ac:dyDescent="0.3">
      <c r="B593" s="99">
        <v>45649</v>
      </c>
      <c r="C593" s="94">
        <v>571.24</v>
      </c>
      <c r="D593" s="76">
        <f t="shared" si="24"/>
        <v>-1.0143052009374293E-3</v>
      </c>
      <c r="F593" s="94">
        <v>23813.4</v>
      </c>
      <c r="G593" s="76">
        <f t="shared" si="25"/>
        <v>9.5771065182830503E-3</v>
      </c>
    </row>
    <row r="594" spans="2:7" hidden="1" outlineLevel="1" x14ac:dyDescent="0.3">
      <c r="B594" s="99">
        <v>45656</v>
      </c>
      <c r="C594" s="94">
        <v>594.66</v>
      </c>
      <c r="D594" s="76">
        <f t="shared" ref="D594:D625" si="26">(C594-C593)/C593</f>
        <v>4.0998529514739791E-2</v>
      </c>
      <c r="F594" s="94">
        <v>24004.75</v>
      </c>
      <c r="G594" s="76">
        <f t="shared" si="25"/>
        <v>8.0353918382086772E-3</v>
      </c>
    </row>
    <row r="595" spans="2:7" hidden="1" outlineLevel="1" x14ac:dyDescent="0.3">
      <c r="B595" s="99">
        <v>45663</v>
      </c>
      <c r="C595" s="94">
        <v>570.41999999999996</v>
      </c>
      <c r="D595" s="76">
        <f t="shared" si="26"/>
        <v>-4.0762788820502487E-2</v>
      </c>
      <c r="F595" s="94">
        <v>23431.5</v>
      </c>
      <c r="G595" s="76">
        <f t="shared" si="25"/>
        <v>-2.3880690280048741E-2</v>
      </c>
    </row>
    <row r="596" spans="2:7" hidden="1" outlineLevel="1" x14ac:dyDescent="0.3">
      <c r="B596" s="99">
        <v>45670</v>
      </c>
      <c r="C596" s="94">
        <v>546.66</v>
      </c>
      <c r="D596" s="76">
        <f t="shared" si="26"/>
        <v>-4.1653518460082029E-2</v>
      </c>
      <c r="F596" s="94">
        <v>23203.200000000001</v>
      </c>
      <c r="G596" s="76">
        <f t="shared" si="25"/>
        <v>-9.7432942833365031E-3</v>
      </c>
    </row>
    <row r="597" spans="2:7" hidden="1" outlineLevel="1" x14ac:dyDescent="0.3">
      <c r="B597" s="99">
        <v>45677</v>
      </c>
      <c r="C597" s="94">
        <v>533.54999999999995</v>
      </c>
      <c r="D597" s="76">
        <f t="shared" si="26"/>
        <v>-2.3981999780485153E-2</v>
      </c>
      <c r="F597" s="94">
        <v>23092.2</v>
      </c>
      <c r="G597" s="76">
        <f t="shared" si="25"/>
        <v>-4.7838229209764167E-3</v>
      </c>
    </row>
    <row r="598" spans="2:7" hidden="1" outlineLevel="1" x14ac:dyDescent="0.3">
      <c r="B598" s="99">
        <v>45684</v>
      </c>
      <c r="C598" s="94">
        <v>605.65</v>
      </c>
      <c r="D598" s="76">
        <f t="shared" si="26"/>
        <v>0.13513260238028307</v>
      </c>
      <c r="F598" s="94">
        <v>23482.15</v>
      </c>
      <c r="G598" s="76">
        <f t="shared" si="25"/>
        <v>1.6886654368141654E-2</v>
      </c>
    </row>
    <row r="599" spans="2:7" hidden="1" outlineLevel="1" x14ac:dyDescent="0.3">
      <c r="B599" s="99">
        <v>45691</v>
      </c>
      <c r="C599" s="94">
        <v>554.4</v>
      </c>
      <c r="D599" s="76">
        <f t="shared" si="26"/>
        <v>-8.4619829934780816E-2</v>
      </c>
      <c r="F599" s="94">
        <v>23559.95</v>
      </c>
      <c r="G599" s="76">
        <f t="shared" si="25"/>
        <v>3.313154885732323E-3</v>
      </c>
    </row>
    <row r="600" spans="2:7" hidden="1" outlineLevel="1" x14ac:dyDescent="0.3">
      <c r="B600" s="99">
        <v>45698</v>
      </c>
      <c r="C600" s="94">
        <v>510.94</v>
      </c>
      <c r="D600" s="76">
        <f t="shared" si="26"/>
        <v>-7.8391053391053359E-2</v>
      </c>
      <c r="F600" s="94">
        <v>22929.25</v>
      </c>
      <c r="G600" s="76">
        <f t="shared" si="25"/>
        <v>-2.6770005878620315E-2</v>
      </c>
    </row>
    <row r="601" spans="2:7" hidden="1" outlineLevel="1" x14ac:dyDescent="0.3">
      <c r="B601" s="99">
        <v>45705</v>
      </c>
      <c r="C601" s="94">
        <v>542.25</v>
      </c>
      <c r="D601" s="76">
        <f t="shared" si="26"/>
        <v>6.1279210866246533E-2</v>
      </c>
      <c r="F601" s="94">
        <v>22795.9</v>
      </c>
      <c r="G601" s="76">
        <f t="shared" si="25"/>
        <v>-5.8157157342694828E-3</v>
      </c>
    </row>
    <row r="602" spans="2:7" hidden="1" outlineLevel="1" x14ac:dyDescent="0.3">
      <c r="B602" s="99">
        <v>45712</v>
      </c>
      <c r="C602" s="94">
        <v>516.24</v>
      </c>
      <c r="D602" s="76">
        <f t="shared" si="26"/>
        <v>-4.7966804979253097E-2</v>
      </c>
      <c r="F602" s="94">
        <v>22124.7</v>
      </c>
      <c r="G602" s="76">
        <f t="shared" si="25"/>
        <v>-2.9443891226053839E-2</v>
      </c>
    </row>
    <row r="603" spans="2:7" hidden="1" outlineLevel="1" x14ac:dyDescent="0.3">
      <c r="B603" s="99">
        <v>45719</v>
      </c>
      <c r="C603" s="94">
        <v>537.48</v>
      </c>
      <c r="D603" s="76">
        <f t="shared" si="26"/>
        <v>4.1143654114365429E-2</v>
      </c>
      <c r="F603" s="94">
        <v>22552.5</v>
      </c>
      <c r="G603" s="76">
        <f t="shared" si="25"/>
        <v>1.9335855401429139E-2</v>
      </c>
    </row>
    <row r="604" spans="2:7" hidden="1" outlineLevel="1" x14ac:dyDescent="0.3">
      <c r="B604" s="99">
        <v>45726</v>
      </c>
      <c r="C604" s="94">
        <v>547.61</v>
      </c>
      <c r="D604" s="76">
        <f t="shared" si="26"/>
        <v>1.8847212919550486E-2</v>
      </c>
      <c r="F604" s="94">
        <v>22397.200000000001</v>
      </c>
      <c r="G604" s="76">
        <f t="shared" si="25"/>
        <v>-6.8861545283227703E-3</v>
      </c>
    </row>
    <row r="605" spans="2:7" hidden="1" outlineLevel="1" x14ac:dyDescent="0.3">
      <c r="B605" s="99">
        <v>45733</v>
      </c>
      <c r="C605" s="94">
        <v>561.1</v>
      </c>
      <c r="D605" s="76">
        <f t="shared" si="26"/>
        <v>2.4634320045287719E-2</v>
      </c>
      <c r="F605" s="94">
        <v>23350.400000000001</v>
      </c>
      <c r="G605" s="76">
        <f t="shared" si="25"/>
        <v>4.2558891289982706E-2</v>
      </c>
    </row>
    <row r="606" spans="2:7" hidden="1" outlineLevel="1" x14ac:dyDescent="0.3">
      <c r="B606" s="99">
        <v>45740</v>
      </c>
      <c r="C606" s="94">
        <v>564.9</v>
      </c>
      <c r="D606" s="76">
        <f t="shared" si="26"/>
        <v>6.7724113348778371E-3</v>
      </c>
      <c r="F606" s="94">
        <v>23519.35</v>
      </c>
      <c r="G606" s="76">
        <f t="shared" si="25"/>
        <v>7.2354220912702596E-3</v>
      </c>
    </row>
    <row r="607" spans="2:7" hidden="1" outlineLevel="1" x14ac:dyDescent="0.3">
      <c r="B607" s="99">
        <v>45747</v>
      </c>
      <c r="C607" s="94">
        <v>577.47</v>
      </c>
      <c r="D607" s="76">
        <f t="shared" si="26"/>
        <v>2.2251725969198177E-2</v>
      </c>
      <c r="F607" s="94">
        <v>22904.45</v>
      </c>
      <c r="G607" s="76">
        <f t="shared" si="25"/>
        <v>-2.614443001188374E-2</v>
      </c>
    </row>
    <row r="608" spans="2:7" hidden="1" outlineLevel="1" x14ac:dyDescent="0.3">
      <c r="B608" s="99">
        <v>45754</v>
      </c>
      <c r="C608" s="94">
        <v>592.76</v>
      </c>
      <c r="D608" s="76">
        <f t="shared" si="26"/>
        <v>2.6477565934161017E-2</v>
      </c>
      <c r="F608" s="94">
        <v>22828.55</v>
      </c>
      <c r="G608" s="76">
        <f t="shared" si="25"/>
        <v>-3.3137665388167561E-3</v>
      </c>
    </row>
    <row r="609" spans="2:7" hidden="1" outlineLevel="1" x14ac:dyDescent="0.3">
      <c r="B609" s="99">
        <v>45761</v>
      </c>
      <c r="C609" s="94">
        <v>599.1</v>
      </c>
      <c r="D609" s="76">
        <f t="shared" si="26"/>
        <v>1.0695728456711033E-2</v>
      </c>
      <c r="F609" s="94">
        <v>23851.65</v>
      </c>
      <c r="G609" s="76">
        <f t="shared" si="25"/>
        <v>4.4816687875489342E-2</v>
      </c>
    </row>
    <row r="610" spans="2:7" hidden="1" outlineLevel="1" x14ac:dyDescent="0.3">
      <c r="B610" s="99">
        <v>45768</v>
      </c>
      <c r="C610" s="94">
        <v>603.77</v>
      </c>
      <c r="D610" s="76">
        <f t="shared" si="26"/>
        <v>7.7950258721414768E-3</v>
      </c>
      <c r="F610" s="94">
        <v>24039.35</v>
      </c>
      <c r="G610" s="76">
        <f t="shared" si="25"/>
        <v>7.8694765351662085E-3</v>
      </c>
    </row>
    <row r="611" spans="2:7" hidden="1" outlineLevel="1" x14ac:dyDescent="0.3">
      <c r="B611" s="99">
        <v>45775</v>
      </c>
      <c r="C611" s="94">
        <v>614.29</v>
      </c>
      <c r="D611" s="76">
        <f t="shared" si="26"/>
        <v>1.7423853454129855E-2</v>
      </c>
      <c r="F611" s="94">
        <v>24346.7</v>
      </c>
      <c r="G611" s="76">
        <f t="shared" si="25"/>
        <v>1.2785287455775726E-2</v>
      </c>
    </row>
    <row r="612" spans="2:7" hidden="1" outlineLevel="1" x14ac:dyDescent="0.3">
      <c r="B612" s="99">
        <v>45782</v>
      </c>
      <c r="C612" s="94">
        <v>614.1</v>
      </c>
      <c r="D612" s="76">
        <f t="shared" si="26"/>
        <v>-3.0930016767315258E-4</v>
      </c>
      <c r="F612" s="94">
        <v>24008</v>
      </c>
      <c r="G612" s="76">
        <f t="shared" si="25"/>
        <v>-1.3911536265695175E-2</v>
      </c>
    </row>
    <row r="613" spans="2:7" hidden="1" outlineLevel="1" x14ac:dyDescent="0.3">
      <c r="B613" s="99">
        <v>45789</v>
      </c>
      <c r="C613" s="94">
        <v>619.84</v>
      </c>
      <c r="D613" s="76">
        <f t="shared" si="26"/>
        <v>9.3470118873147847E-3</v>
      </c>
      <c r="F613" s="94">
        <v>25019.8</v>
      </c>
      <c r="G613" s="76">
        <f t="shared" si="25"/>
        <v>4.2144285238253885E-2</v>
      </c>
    </row>
    <row r="614" spans="2:7" hidden="1" outlineLevel="1" x14ac:dyDescent="0.3">
      <c r="B614" s="99">
        <v>45796</v>
      </c>
      <c r="C614" s="94">
        <v>580.29</v>
      </c>
      <c r="D614" s="76">
        <f t="shared" si="26"/>
        <v>-6.3806788848735266E-2</v>
      </c>
      <c r="F614" s="94">
        <v>24853.15</v>
      </c>
      <c r="G614" s="76">
        <f t="shared" si="25"/>
        <v>-6.6607247060327347E-3</v>
      </c>
    </row>
    <row r="615" spans="2:7" hidden="1" outlineLevel="1" x14ac:dyDescent="0.3">
      <c r="B615" s="99">
        <v>45803</v>
      </c>
      <c r="C615" s="94">
        <v>572.86</v>
      </c>
      <c r="D615" s="76">
        <f t="shared" si="26"/>
        <v>-1.2803942856158042E-2</v>
      </c>
      <c r="F615" s="94">
        <v>24750.7</v>
      </c>
      <c r="G615" s="76">
        <f t="shared" si="25"/>
        <v>-4.1222138843567402E-3</v>
      </c>
    </row>
    <row r="616" spans="2:7" hidden="1" outlineLevel="1" x14ac:dyDescent="0.3">
      <c r="B616" s="99">
        <v>45810</v>
      </c>
      <c r="C616" s="94">
        <v>572.03</v>
      </c>
      <c r="D616" s="76">
        <f t="shared" si="26"/>
        <v>-1.4488705791991777E-3</v>
      </c>
      <c r="F616" s="94">
        <v>25003.05</v>
      </c>
      <c r="G616" s="76">
        <f t="shared" si="25"/>
        <v>1.019567123354081E-2</v>
      </c>
    </row>
    <row r="617" spans="2:7" hidden="1" outlineLevel="1" x14ac:dyDescent="0.3">
      <c r="B617" s="99">
        <v>45817</v>
      </c>
      <c r="C617" s="94">
        <v>561.44000000000005</v>
      </c>
      <c r="D617" s="76">
        <f t="shared" si="26"/>
        <v>-1.8513015051657988E-2</v>
      </c>
      <c r="F617" s="94">
        <v>24718.6</v>
      </c>
      <c r="G617" s="76">
        <f t="shared" si="25"/>
        <v>-1.1376612053329523E-2</v>
      </c>
    </row>
    <row r="618" spans="2:7" hidden="1" outlineLevel="1" x14ac:dyDescent="0.3">
      <c r="B618" s="99">
        <v>45824</v>
      </c>
      <c r="C618" s="94">
        <v>542.32000000000005</v>
      </c>
      <c r="D618" s="76">
        <f t="shared" si="26"/>
        <v>-3.4055286406383591E-2</v>
      </c>
      <c r="F618" s="94">
        <v>25112.400000000001</v>
      </c>
      <c r="G618" s="76">
        <f t="shared" si="25"/>
        <v>1.5931322971365812E-2</v>
      </c>
    </row>
    <row r="619" spans="2:7" hidden="1" outlineLevel="1" x14ac:dyDescent="0.3">
      <c r="B619" s="99">
        <v>45831</v>
      </c>
      <c r="C619" s="94">
        <v>556.19000000000005</v>
      </c>
      <c r="D619" s="76">
        <f t="shared" si="26"/>
        <v>2.557530609234401E-2</v>
      </c>
      <c r="F619" s="94">
        <v>25637.8</v>
      </c>
      <c r="G619" s="76">
        <f t="shared" si="25"/>
        <v>2.0921934980328356E-2</v>
      </c>
    </row>
    <row r="620" spans="2:7" hidden="1" outlineLevel="1" x14ac:dyDescent="0.3">
      <c r="B620" s="99">
        <v>45838</v>
      </c>
      <c r="C620" s="94">
        <v>551.63</v>
      </c>
      <c r="D620" s="76">
        <f t="shared" si="26"/>
        <v>-8.1986371563675334E-3</v>
      </c>
      <c r="F620" s="94">
        <v>25461</v>
      </c>
      <c r="G620" s="76">
        <f t="shared" si="25"/>
        <v>-6.8960675252946538E-3</v>
      </c>
    </row>
    <row r="621" spans="2:7" hidden="1" outlineLevel="1" x14ac:dyDescent="0.3">
      <c r="B621" s="99">
        <v>45845</v>
      </c>
      <c r="C621" s="94">
        <v>575.61</v>
      </c>
      <c r="D621" s="76">
        <f t="shared" si="26"/>
        <v>4.3471167267915119E-2</v>
      </c>
      <c r="F621" s="94">
        <v>25149.85</v>
      </c>
      <c r="G621" s="76">
        <f t="shared" si="25"/>
        <v>-1.2220651192019224E-2</v>
      </c>
    </row>
    <row r="622" spans="2:7" hidden="1" outlineLevel="1" x14ac:dyDescent="0.3">
      <c r="B622" s="99">
        <v>45852</v>
      </c>
      <c r="C622" s="94">
        <v>580.16999999999996</v>
      </c>
      <c r="D622" s="76">
        <f t="shared" si="26"/>
        <v>7.9220305415123871E-3</v>
      </c>
      <c r="F622" s="94">
        <v>24968.400000000001</v>
      </c>
      <c r="G622" s="76">
        <f t="shared" si="25"/>
        <v>-7.2147547599686317E-3</v>
      </c>
    </row>
    <row r="623" spans="2:7" hidden="1" outlineLevel="1" x14ac:dyDescent="0.3">
      <c r="B623" s="99">
        <v>45859</v>
      </c>
      <c r="C623" s="94">
        <v>564.04</v>
      </c>
      <c r="D623" s="76">
        <f t="shared" si="26"/>
        <v>-2.7802195908095895E-2</v>
      </c>
      <c r="F623" s="94">
        <v>24837</v>
      </c>
      <c r="G623" s="76">
        <f t="shared" si="25"/>
        <v>-5.2626519921180953E-3</v>
      </c>
    </row>
    <row r="624" spans="2:7" hidden="1" outlineLevel="1" x14ac:dyDescent="0.3">
      <c r="B624" s="99">
        <v>45866</v>
      </c>
      <c r="C624" s="94">
        <v>607.28</v>
      </c>
      <c r="D624" s="76">
        <f t="shared" si="26"/>
        <v>7.6661229700021302E-2</v>
      </c>
      <c r="F624" s="94">
        <v>24565.35</v>
      </c>
      <c r="G624" s="76">
        <f t="shared" si="25"/>
        <v>-1.0937311269477048E-2</v>
      </c>
    </row>
    <row r="625" spans="2:7" hidden="1" outlineLevel="1" x14ac:dyDescent="0.3">
      <c r="B625" s="99">
        <v>45873</v>
      </c>
      <c r="C625" s="94">
        <v>564.91999999999996</v>
      </c>
      <c r="D625" s="76">
        <f t="shared" si="26"/>
        <v>-6.9753655644842608E-2</v>
      </c>
      <c r="F625" s="94">
        <v>24363.3</v>
      </c>
      <c r="G625" s="76">
        <f t="shared" si="25"/>
        <v>-8.224999847345928E-3</v>
      </c>
    </row>
    <row r="626" spans="2:7" hidden="1" outlineLevel="1" x14ac:dyDescent="0.3">
      <c r="B626" s="99">
        <v>45880</v>
      </c>
      <c r="C626" s="94">
        <v>571.04999999999995</v>
      </c>
      <c r="D626" s="76">
        <f t="shared" ref="D626:D657" si="27">(C626-C625)/C625</f>
        <v>1.0851093960206748E-2</v>
      </c>
      <c r="F626" s="94">
        <v>24631.3</v>
      </c>
      <c r="G626" s="76">
        <f t="shared" ref="G626:G666" si="28">(F626-F625)/F625</f>
        <v>1.1000151867768324E-2</v>
      </c>
    </row>
    <row r="627" spans="2:7" hidden="1" outlineLevel="1" x14ac:dyDescent="0.3">
      <c r="B627" s="99">
        <v>45887</v>
      </c>
      <c r="C627" s="94">
        <v>600.07000000000005</v>
      </c>
      <c r="D627" s="76">
        <f t="shared" si="27"/>
        <v>5.0818667367130893E-2</v>
      </c>
      <c r="F627" s="94">
        <v>24870.1</v>
      </c>
      <c r="G627" s="76">
        <f t="shared" si="28"/>
        <v>9.6949815884666782E-3</v>
      </c>
    </row>
    <row r="628" spans="2:7" hidden="1" outlineLevel="1" x14ac:dyDescent="0.3">
      <c r="B628" s="99">
        <v>45894</v>
      </c>
      <c r="C628" s="94">
        <v>562.47</v>
      </c>
      <c r="D628" s="76">
        <f t="shared" si="27"/>
        <v>-6.2659356408419048E-2</v>
      </c>
      <c r="F628" s="94">
        <v>24426.85</v>
      </c>
      <c r="G628" s="76">
        <f t="shared" si="28"/>
        <v>-1.7822606262138069E-2</v>
      </c>
    </row>
    <row r="629" spans="2:7" hidden="1" outlineLevel="1" x14ac:dyDescent="0.3">
      <c r="B629" s="99">
        <v>45901</v>
      </c>
      <c r="C629" s="94">
        <v>593.21</v>
      </c>
      <c r="D629" s="76">
        <f t="shared" si="27"/>
        <v>5.4651803651750326E-2</v>
      </c>
      <c r="F629" s="94">
        <v>24741</v>
      </c>
      <c r="G629" s="76">
        <f t="shared" si="28"/>
        <v>1.2860847796584557E-2</v>
      </c>
    </row>
    <row r="630" spans="2:7" hidden="1" outlineLevel="1" x14ac:dyDescent="0.3">
      <c r="B630" s="99">
        <v>45908</v>
      </c>
      <c r="C630" s="94">
        <v>590.27</v>
      </c>
      <c r="D630" s="76">
        <f t="shared" si="27"/>
        <v>-4.9560863775055279E-3</v>
      </c>
      <c r="F630" s="94">
        <v>25114</v>
      </c>
      <c r="G630" s="76">
        <f t="shared" si="28"/>
        <v>1.5076189321369386E-2</v>
      </c>
    </row>
    <row r="631" spans="2:7" hidden="1" outlineLevel="1" x14ac:dyDescent="0.3">
      <c r="B631" s="99">
        <v>45915</v>
      </c>
      <c r="C631" s="94">
        <v>568.35</v>
      </c>
      <c r="D631" s="76">
        <f t="shared" si="27"/>
        <v>-3.7135548138987173E-2</v>
      </c>
      <c r="F631" s="94">
        <v>25327.05</v>
      </c>
      <c r="G631" s="76">
        <f t="shared" si="28"/>
        <v>8.4833160786811843E-3</v>
      </c>
    </row>
    <row r="632" spans="2:7" hidden="1" outlineLevel="1" x14ac:dyDescent="0.3">
      <c r="B632" s="99">
        <v>45922</v>
      </c>
      <c r="C632" s="94">
        <v>547.02</v>
      </c>
      <c r="D632" s="76">
        <f t="shared" si="27"/>
        <v>-3.7529691211401497E-2</v>
      </c>
      <c r="F632" s="94">
        <v>24654.7</v>
      </c>
      <c r="G632" s="76">
        <f t="shared" si="28"/>
        <v>-2.6546715863079141E-2</v>
      </c>
    </row>
    <row r="633" spans="2:7" hidden="1" outlineLevel="1" x14ac:dyDescent="0.3">
      <c r="B633" s="99">
        <v>45929</v>
      </c>
      <c r="C633" s="94">
        <v>539.87</v>
      </c>
      <c r="D633" s="76">
        <f t="shared" si="27"/>
        <v>-1.307082007970454E-2</v>
      </c>
      <c r="F633" s="94">
        <v>24894.25</v>
      </c>
      <c r="G633" s="76">
        <f t="shared" si="28"/>
        <v>9.7162001565624101E-3</v>
      </c>
    </row>
    <row r="634" spans="2:7" hidden="1" outlineLevel="1" x14ac:dyDescent="0.3">
      <c r="B634" s="99">
        <v>45936</v>
      </c>
      <c r="C634" s="94">
        <v>531.87</v>
      </c>
      <c r="D634" s="76">
        <f t="shared" si="27"/>
        <v>-1.4818382203122975E-2</v>
      </c>
      <c r="F634" s="94">
        <v>25285.35</v>
      </c>
      <c r="G634" s="76">
        <f t="shared" si="28"/>
        <v>1.5710455225604249E-2</v>
      </c>
    </row>
    <row r="635" spans="2:7" hidden="1" outlineLevel="1" x14ac:dyDescent="0.3">
      <c r="B635" s="99">
        <v>45943</v>
      </c>
      <c r="C635" s="94">
        <v>540.79999999999995</v>
      </c>
      <c r="D635" s="76">
        <f t="shared" si="27"/>
        <v>1.6789817060559816E-2</v>
      </c>
      <c r="F635" s="94">
        <v>25709.85</v>
      </c>
      <c r="G635" s="76">
        <f t="shared" si="28"/>
        <v>1.6788377459675267E-2</v>
      </c>
    </row>
    <row r="636" spans="2:7" hidden="1" outlineLevel="1" x14ac:dyDescent="0.3">
      <c r="B636" s="99">
        <v>45950</v>
      </c>
      <c r="C636" s="94">
        <v>534.08000000000004</v>
      </c>
      <c r="D636" s="76">
        <f t="shared" si="27"/>
        <v>-1.2426035502958422E-2</v>
      </c>
      <c r="F636" s="94">
        <v>25795.15</v>
      </c>
      <c r="G636" s="76">
        <f t="shared" si="28"/>
        <v>3.3177945417807927E-3</v>
      </c>
    </row>
    <row r="637" spans="2:7" hidden="1" outlineLevel="1" x14ac:dyDescent="0.3">
      <c r="B637" s="99">
        <v>45957</v>
      </c>
      <c r="C637" s="94">
        <v>524.03</v>
      </c>
      <c r="D637" s="76">
        <f t="shared" si="27"/>
        <v>-1.8817405632115165E-2</v>
      </c>
      <c r="F637" s="94">
        <v>25722.1</v>
      </c>
      <c r="G637" s="76">
        <f t="shared" si="28"/>
        <v>-2.8319277073404459E-3</v>
      </c>
    </row>
    <row r="638" spans="2:7" hidden="1" outlineLevel="1" x14ac:dyDescent="0.3">
      <c r="B638" s="99">
        <v>45964</v>
      </c>
      <c r="C638" s="94">
        <v>504.12</v>
      </c>
      <c r="D638" s="76">
        <f t="shared" si="27"/>
        <v>-3.7994007976642499E-2</v>
      </c>
      <c r="F638" s="94">
        <v>25492.3</v>
      </c>
      <c r="G638" s="76">
        <f t="shared" si="28"/>
        <v>-8.933951737999591E-3</v>
      </c>
    </row>
    <row r="639" spans="2:7" hidden="1" outlineLevel="1" x14ac:dyDescent="0.3">
      <c r="B639" s="99">
        <v>45971</v>
      </c>
      <c r="C639" s="94">
        <v>510.25</v>
      </c>
      <c r="D639" s="76">
        <f t="shared" si="27"/>
        <v>1.21598032214552E-2</v>
      </c>
      <c r="F639" s="94">
        <v>25910.05</v>
      </c>
      <c r="G639" s="76">
        <f t="shared" si="28"/>
        <v>1.638730126351879E-2</v>
      </c>
    </row>
    <row r="640" spans="2:7" hidden="1" outlineLevel="1" x14ac:dyDescent="0.3">
      <c r="B640" s="99">
        <v>45978</v>
      </c>
      <c r="C640" s="94">
        <v>507.22</v>
      </c>
      <c r="D640" s="76">
        <f t="shared" si="27"/>
        <v>-5.9382655560998978E-3</v>
      </c>
      <c r="F640" s="94">
        <v>26068.15</v>
      </c>
      <c r="G640" s="76">
        <f t="shared" si="28"/>
        <v>6.1018793865701606E-3</v>
      </c>
    </row>
    <row r="641" spans="2:7" hidden="1" outlineLevel="1" x14ac:dyDescent="0.3">
      <c r="B641" s="99">
        <v>45985</v>
      </c>
      <c r="C641" s="94">
        <v>524.22</v>
      </c>
      <c r="D641" s="76">
        <f t="shared" si="27"/>
        <v>3.3516028547770194E-2</v>
      </c>
      <c r="F641" s="94">
        <v>26202.95</v>
      </c>
      <c r="G641" s="76">
        <f t="shared" si="28"/>
        <v>5.1710612375638187E-3</v>
      </c>
    </row>
    <row r="642" spans="2:7" hidden="1" outlineLevel="1" x14ac:dyDescent="0.3">
      <c r="B642" s="99">
        <v>45992</v>
      </c>
      <c r="C642" s="94">
        <v>519.08000000000004</v>
      </c>
      <c r="D642" s="76">
        <f t="shared" si="27"/>
        <v>-9.8050436839494607E-3</v>
      </c>
      <c r="F642" s="94">
        <v>26186.45</v>
      </c>
      <c r="G642" s="76">
        <f t="shared" si="28"/>
        <v>-6.2970009102028589E-4</v>
      </c>
    </row>
    <row r="643" spans="2:7" hidden="1" outlineLevel="1" x14ac:dyDescent="0.3">
      <c r="B643" s="99">
        <v>45999</v>
      </c>
      <c r="C643" s="94">
        <v>533.16</v>
      </c>
      <c r="D643" s="76">
        <f t="shared" si="27"/>
        <v>2.7124913308160449E-2</v>
      </c>
      <c r="F643" s="94">
        <v>26046.95</v>
      </c>
      <c r="G643" s="76">
        <f t="shared" si="28"/>
        <v>-5.327182569611383E-3</v>
      </c>
    </row>
    <row r="644" spans="2:7" hidden="1" outlineLevel="1" x14ac:dyDescent="0.3">
      <c r="B644" s="99">
        <v>46006</v>
      </c>
      <c r="C644" s="94">
        <v>513.1</v>
      </c>
      <c r="D644" s="76">
        <f t="shared" si="27"/>
        <v>-3.76247280366118E-2</v>
      </c>
      <c r="F644" s="94">
        <v>25966.400000000001</v>
      </c>
      <c r="G644" s="76">
        <f t="shared" si="28"/>
        <v>-3.0924925951022774E-3</v>
      </c>
    </row>
    <row r="645" spans="2:7" hidden="1" outlineLevel="1" x14ac:dyDescent="0.3">
      <c r="B645" s="99">
        <v>46013</v>
      </c>
      <c r="C645" s="94">
        <v>508.61</v>
      </c>
      <c r="D645" s="76">
        <f t="shared" si="27"/>
        <v>-8.7507308516858485E-3</v>
      </c>
      <c r="F645" s="94">
        <v>26042.3</v>
      </c>
      <c r="G645" s="76">
        <f t="shared" si="28"/>
        <v>2.9230081952060284E-3</v>
      </c>
    </row>
    <row r="646" spans="2:7" hidden="1" outlineLevel="1" x14ac:dyDescent="0.3">
      <c r="B646" s="99">
        <v>46020</v>
      </c>
      <c r="C646" s="94">
        <v>516.36</v>
      </c>
      <c r="D646" s="76">
        <f t="shared" si="27"/>
        <v>1.5237608383633826E-2</v>
      </c>
      <c r="F646" s="94">
        <v>26328.55</v>
      </c>
      <c r="G646" s="76">
        <f t="shared" si="28"/>
        <v>1.0991732681061198E-2</v>
      </c>
    </row>
    <row r="647" spans="2:7" hidden="1" outlineLevel="1" x14ac:dyDescent="0.3">
      <c r="B647" s="99">
        <v>46027</v>
      </c>
      <c r="C647" s="94">
        <v>501.99</v>
      </c>
      <c r="D647" s="76">
        <f t="shared" si="27"/>
        <v>-2.7829421333953063E-2</v>
      </c>
      <c r="F647" s="94">
        <v>25683.3</v>
      </c>
      <c r="G647" s="76">
        <f t="shared" si="28"/>
        <v>-2.450761625687704E-2</v>
      </c>
    </row>
    <row r="648" spans="2:7" hidden="1" outlineLevel="1" x14ac:dyDescent="0.3">
      <c r="B648" s="99">
        <v>46034</v>
      </c>
      <c r="C648" s="94">
        <v>499.52</v>
      </c>
      <c r="D648" s="76">
        <f t="shared" si="27"/>
        <v>-4.9204167413694046E-3</v>
      </c>
      <c r="F648" s="94">
        <v>25694.35</v>
      </c>
      <c r="G648" s="76">
        <f t="shared" si="28"/>
        <v>4.3024066222016925E-4</v>
      </c>
    </row>
    <row r="649" spans="2:7" hidden="1" outlineLevel="1" x14ac:dyDescent="0.3">
      <c r="B649" s="99">
        <v>46041</v>
      </c>
      <c r="C649" s="94">
        <v>498.48</v>
      </c>
      <c r="D649" s="76">
        <f t="shared" si="27"/>
        <v>-2.0819987187699466E-3</v>
      </c>
      <c r="F649" s="94">
        <v>25048.65</v>
      </c>
      <c r="G649" s="76">
        <f t="shared" si="28"/>
        <v>-2.5130038315816401E-2</v>
      </c>
    </row>
    <row r="650" spans="2:7" hidden="1" outlineLevel="1" x14ac:dyDescent="0.3">
      <c r="B650" s="99">
        <v>46048</v>
      </c>
      <c r="C650" s="94">
        <v>469.43</v>
      </c>
      <c r="D650" s="76">
        <f t="shared" si="27"/>
        <v>-5.8277162574225667E-2</v>
      </c>
      <c r="F650" s="94">
        <v>24825.45</v>
      </c>
      <c r="G650" s="76">
        <f t="shared" si="28"/>
        <v>-8.9106598559204071E-3</v>
      </c>
    </row>
    <row r="651" spans="2:7" hidden="1" outlineLevel="1" x14ac:dyDescent="0.3">
      <c r="B651" s="99">
        <v>46055</v>
      </c>
      <c r="C651" s="94">
        <v>498.38</v>
      </c>
      <c r="D651" s="76">
        <f t="shared" si="27"/>
        <v>6.1670536608226974E-2</v>
      </c>
      <c r="F651" s="94">
        <v>25693.7</v>
      </c>
      <c r="G651" s="76">
        <f t="shared" si="28"/>
        <v>3.4974189793135671E-2</v>
      </c>
    </row>
    <row r="652" spans="2:7" hidden="1" outlineLevel="1" x14ac:dyDescent="0.3">
      <c r="B652" s="99">
        <v>46062</v>
      </c>
      <c r="C652" s="94">
        <v>483.8</v>
      </c>
      <c r="D652" s="76">
        <f t="shared" si="27"/>
        <v>-2.9254785505036286E-2</v>
      </c>
      <c r="F652" s="94">
        <v>25471.1</v>
      </c>
      <c r="G652" s="76">
        <f t="shared" si="28"/>
        <v>-8.6636023616685088E-3</v>
      </c>
    </row>
    <row r="653" spans="2:7" hidden="1" outlineLevel="1" x14ac:dyDescent="0.3">
      <c r="B653" s="99">
        <v>46069</v>
      </c>
      <c r="C653" s="94">
        <v>479.6</v>
      </c>
      <c r="D653" s="76">
        <f t="shared" si="27"/>
        <v>-8.6812732534104764E-3</v>
      </c>
      <c r="F653" s="94">
        <v>25571.25</v>
      </c>
      <c r="G653" s="76">
        <f t="shared" si="28"/>
        <v>3.93190714181961E-3</v>
      </c>
    </row>
    <row r="654" spans="2:7" hidden="1" outlineLevel="1" x14ac:dyDescent="0.3">
      <c r="B654" s="99">
        <v>46076</v>
      </c>
      <c r="C654" s="94">
        <v>462.6</v>
      </c>
      <c r="D654" s="76">
        <f t="shared" si="27"/>
        <v>-3.5446205170975811E-2</v>
      </c>
      <c r="F654" s="94">
        <v>25178.65</v>
      </c>
      <c r="G654" s="76">
        <f t="shared" si="28"/>
        <v>-1.5353179840641289E-2</v>
      </c>
    </row>
    <row r="655" spans="2:7" hidden="1" outlineLevel="1" x14ac:dyDescent="0.3">
      <c r="B655" s="99">
        <v>46083</v>
      </c>
      <c r="C655" s="94">
        <v>458.45</v>
      </c>
      <c r="D655" s="76">
        <f t="shared" si="27"/>
        <v>-8.9710332900995119E-3</v>
      </c>
      <c r="F655" s="94">
        <v>24450.45</v>
      </c>
      <c r="G655" s="76">
        <f t="shared" si="28"/>
        <v>-2.8921328188763126E-2</v>
      </c>
    </row>
    <row r="656" spans="2:7" hidden="1" outlineLevel="1" x14ac:dyDescent="0.3">
      <c r="B656" s="99">
        <v>46090</v>
      </c>
      <c r="C656" s="94">
        <v>416.05</v>
      </c>
      <c r="D656" s="76">
        <f t="shared" si="27"/>
        <v>-9.2485549132947931E-2</v>
      </c>
      <c r="F656" s="94">
        <v>23151.1</v>
      </c>
      <c r="G656" s="76">
        <f t="shared" si="28"/>
        <v>-5.3142171207482977E-2</v>
      </c>
    </row>
    <row r="657" spans="2:7" hidden="1" outlineLevel="1" x14ac:dyDescent="0.3">
      <c r="B657" s="99">
        <v>46097</v>
      </c>
      <c r="C657" s="94">
        <v>402.75</v>
      </c>
      <c r="D657" s="76">
        <f t="shared" si="27"/>
        <v>-3.1967311621199403E-2</v>
      </c>
      <c r="F657" s="94">
        <v>23114.5</v>
      </c>
      <c r="G657" s="76">
        <f t="shared" si="28"/>
        <v>-1.5809184012854052E-3</v>
      </c>
    </row>
    <row r="658" spans="2:7" hidden="1" outlineLevel="1" x14ac:dyDescent="0.3">
      <c r="B658" s="99">
        <v>46104</v>
      </c>
      <c r="C658" s="94">
        <v>393.1</v>
      </c>
      <c r="D658" s="76">
        <f t="shared" ref="D658:D689" si="29">(C658-C657)/C657</f>
        <v>-2.3960273122284239E-2</v>
      </c>
      <c r="F658" s="94">
        <v>22819.599999999999</v>
      </c>
      <c r="G658" s="76">
        <f t="shared" si="28"/>
        <v>-1.2758225356378093E-2</v>
      </c>
    </row>
    <row r="659" spans="2:7" hidden="1" outlineLevel="1" x14ac:dyDescent="0.3">
      <c r="B659" s="99">
        <v>46111</v>
      </c>
      <c r="C659" s="94">
        <v>398.3</v>
      </c>
      <c r="D659" s="76">
        <f t="shared" si="29"/>
        <v>1.3228186212159727E-2</v>
      </c>
      <c r="F659" s="94">
        <v>22713.1</v>
      </c>
      <c r="G659" s="76">
        <f t="shared" si="28"/>
        <v>-4.6670406142088382E-3</v>
      </c>
    </row>
    <row r="660" spans="2:7" hidden="1" outlineLevel="1" x14ac:dyDescent="0.3">
      <c r="B660" s="99">
        <v>46118</v>
      </c>
      <c r="C660" s="94">
        <v>424.15</v>
      </c>
      <c r="D660" s="76">
        <f t="shared" si="29"/>
        <v>6.4900828521215079E-2</v>
      </c>
      <c r="F660" s="94">
        <v>24050.6</v>
      </c>
      <c r="G660" s="76">
        <f t="shared" si="28"/>
        <v>5.8886721759689349E-2</v>
      </c>
    </row>
    <row r="661" spans="2:7" hidden="1" outlineLevel="1" x14ac:dyDescent="0.3">
      <c r="B661" s="99">
        <v>46125</v>
      </c>
      <c r="C661" s="94">
        <v>452.1</v>
      </c>
      <c r="D661" s="76">
        <f t="shared" si="29"/>
        <v>6.5896498880113272E-2</v>
      </c>
      <c r="F661" s="94">
        <v>24353.55</v>
      </c>
      <c r="G661" s="76">
        <f t="shared" si="28"/>
        <v>1.2596359342386499E-2</v>
      </c>
    </row>
    <row r="662" spans="2:7" hidden="1" outlineLevel="1" x14ac:dyDescent="0.3">
      <c r="B662" s="99">
        <v>46132</v>
      </c>
      <c r="C662" s="94">
        <v>460.15</v>
      </c>
      <c r="D662" s="76">
        <f t="shared" si="29"/>
        <v>1.7805795178057849E-2</v>
      </c>
      <c r="F662" s="94">
        <v>23897.95</v>
      </c>
      <c r="G662" s="76">
        <f t="shared" si="28"/>
        <v>-1.8707744866764745E-2</v>
      </c>
    </row>
    <row r="663" spans="2:7" hidden="1" outlineLevel="1" x14ac:dyDescent="0.3">
      <c r="B663" s="99">
        <v>46139</v>
      </c>
      <c r="C663" s="94">
        <v>444.5</v>
      </c>
      <c r="D663" s="76">
        <f t="shared" si="29"/>
        <v>-3.4010648701510326E-2</v>
      </c>
      <c r="F663" s="94">
        <v>23997.55</v>
      </c>
      <c r="G663" s="76">
        <f t="shared" si="28"/>
        <v>4.1677214991243409E-3</v>
      </c>
    </row>
    <row r="664" spans="2:7" hidden="1" outlineLevel="1" x14ac:dyDescent="0.3">
      <c r="B664" s="99">
        <v>46146</v>
      </c>
      <c r="C664" s="94">
        <v>456.95</v>
      </c>
      <c r="D664" s="76">
        <f t="shared" si="29"/>
        <v>2.8008998875140582E-2</v>
      </c>
      <c r="F664" s="94">
        <v>24176.15</v>
      </c>
      <c r="G664" s="76">
        <f t="shared" si="28"/>
        <v>7.4424264143632237E-3</v>
      </c>
    </row>
    <row r="665" spans="2:7" hidden="1" outlineLevel="1" x14ac:dyDescent="0.3">
      <c r="B665" s="99">
        <v>46153</v>
      </c>
      <c r="C665" s="94">
        <v>432.4</v>
      </c>
      <c r="D665" s="76">
        <f t="shared" si="29"/>
        <v>-5.3725790567895858E-2</v>
      </c>
      <c r="F665" s="94">
        <v>23379.55</v>
      </c>
      <c r="G665" s="76">
        <f t="shared" si="28"/>
        <v>-3.2949828653445735E-2</v>
      </c>
    </row>
    <row r="666" spans="2:7" hidden="1" outlineLevel="1" x14ac:dyDescent="0.3">
      <c r="B666" s="99">
        <v>46155</v>
      </c>
      <c r="C666" s="94">
        <v>428.9</v>
      </c>
      <c r="D666" s="76">
        <f t="shared" si="29"/>
        <v>-8.0943570767807588E-3</v>
      </c>
      <c r="F666" s="94">
        <v>23472.799999999999</v>
      </c>
      <c r="G666" s="76">
        <f t="shared" si="28"/>
        <v>3.9885284361760595E-3</v>
      </c>
    </row>
    <row r="667" spans="2:7" collapsed="1" x14ac:dyDescent="0.3"/>
  </sheetData>
  <mergeCells count="18">
    <mergeCell ref="B4:D4"/>
    <mergeCell ref="F4:G4"/>
    <mergeCell ref="I4:J4"/>
    <mergeCell ref="B116:D116"/>
    <mergeCell ref="F116:G116"/>
    <mergeCell ref="I116:J116"/>
    <mergeCell ref="B227:D227"/>
    <mergeCell ref="F227:G227"/>
    <mergeCell ref="I227:J227"/>
    <mergeCell ref="B337:D337"/>
    <mergeCell ref="F337:G337"/>
    <mergeCell ref="I337:J337"/>
    <mergeCell ref="B447:D447"/>
    <mergeCell ref="F447:G447"/>
    <mergeCell ref="I447:J447"/>
    <mergeCell ref="B558:D558"/>
    <mergeCell ref="F558:G558"/>
    <mergeCell ref="I558:J55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9648-7B95-414E-A4BC-1B00F02C946B}">
  <dimension ref="A2:K336"/>
  <sheetViews>
    <sheetView showGridLines="0" topLeftCell="B1" zoomScale="85" zoomScaleNormal="85" workbookViewId="0">
      <pane ySplit="2" topLeftCell="A38" activePane="bottomLeft" state="frozen"/>
      <selection activeCell="G24" sqref="F24:G29"/>
      <selection pane="bottomLeft" activeCell="D52" sqref="D52"/>
    </sheetView>
  </sheetViews>
  <sheetFormatPr defaultRowHeight="14.4" x14ac:dyDescent="0.3"/>
  <cols>
    <col min="1" max="1" width="1.88671875" customWidth="1"/>
    <col min="7" max="11" width="11.33203125" bestFit="1" customWidth="1"/>
  </cols>
  <sheetData>
    <row r="2" spans="1:11" x14ac:dyDescent="0.3">
      <c r="B2" s="40" t="s">
        <v>294</v>
      </c>
      <c r="C2" s="105"/>
      <c r="D2" s="105"/>
      <c r="E2" s="105"/>
      <c r="F2" s="105"/>
      <c r="G2" s="101">
        <v>44256</v>
      </c>
      <c r="H2" s="101">
        <v>44621</v>
      </c>
      <c r="I2" s="101">
        <v>44986</v>
      </c>
      <c r="J2" s="101">
        <v>45352</v>
      </c>
      <c r="K2" s="101">
        <v>45717</v>
      </c>
    </row>
    <row r="4" spans="1:11" x14ac:dyDescent="0.3">
      <c r="B4" s="2" t="s">
        <v>295</v>
      </c>
    </row>
    <row r="5" spans="1:11" x14ac:dyDescent="0.3">
      <c r="B5" s="110" t="str">
        <f>'Raw FS'!B33</f>
        <v>Inventories</v>
      </c>
      <c r="C5" s="110"/>
      <c r="D5" s="110"/>
      <c r="E5" s="110"/>
      <c r="F5" s="110"/>
      <c r="G5" s="111">
        <f>'Raw FS'!C33</f>
        <v>2248</v>
      </c>
      <c r="H5" s="111">
        <f>'Raw FS'!D33</f>
        <v>2743</v>
      </c>
      <c r="I5" s="111">
        <f>'Raw FS'!E33</f>
        <v>3243</v>
      </c>
      <c r="J5" s="111">
        <f>'Raw FS'!F33</f>
        <v>3927</v>
      </c>
      <c r="K5" s="111">
        <f>'Raw FS'!G33</f>
        <v>5044</v>
      </c>
    </row>
    <row r="6" spans="1:11" x14ac:dyDescent="0.3">
      <c r="B6" s="110" t="str">
        <f>'Raw FS'!B34</f>
        <v>Trade receivables</v>
      </c>
      <c r="C6" s="110"/>
      <c r="D6" s="110"/>
      <c r="E6" s="110"/>
      <c r="F6" s="110"/>
      <c r="G6" s="111">
        <f>'Raw FS'!C34</f>
        <v>44</v>
      </c>
      <c r="H6" s="111">
        <f>'Raw FS'!D34</f>
        <v>67</v>
      </c>
      <c r="I6" s="111">
        <f>'Raw FS'!E34</f>
        <v>62</v>
      </c>
      <c r="J6" s="111">
        <f>'Raw FS'!F34</f>
        <v>166</v>
      </c>
      <c r="K6" s="111">
        <f>'Raw FS'!G34</f>
        <v>154</v>
      </c>
    </row>
    <row r="7" spans="1:11" x14ac:dyDescent="0.3">
      <c r="B7" s="110" t="str" cm="1">
        <f t="array" ref="B7:B8">'Raw FS'!B36:B37</f>
        <v>Loans n Advances</v>
      </c>
      <c r="C7" s="110"/>
      <c r="D7" s="110"/>
      <c r="E7" s="110"/>
      <c r="F7" s="110"/>
      <c r="G7" s="111">
        <f>'Raw FS'!C36</f>
        <v>81</v>
      </c>
      <c r="H7" s="111">
        <f>'Raw FS'!D36</f>
        <v>109</v>
      </c>
      <c r="I7" s="111">
        <f>'Raw FS'!E36</f>
        <v>97</v>
      </c>
      <c r="J7" s="111">
        <f>'Raw FS'!F36</f>
        <v>105</v>
      </c>
      <c r="K7" s="111">
        <f>'Raw FS'!G36</f>
        <v>126</v>
      </c>
    </row>
    <row r="8" spans="1:11" x14ac:dyDescent="0.3">
      <c r="B8" s="112" t="str">
        <v>Other asset items</v>
      </c>
      <c r="C8" s="112"/>
      <c r="D8" s="112"/>
      <c r="E8" s="112"/>
      <c r="F8" s="112"/>
      <c r="G8" s="113">
        <f>'Raw FS'!C37</f>
        <v>1806</v>
      </c>
      <c r="H8" s="113">
        <f>'Raw FS'!D37</f>
        <v>1859</v>
      </c>
      <c r="I8" s="113">
        <f>'Raw FS'!E37</f>
        <v>922</v>
      </c>
      <c r="J8" s="113">
        <f>'Raw FS'!F37</f>
        <v>1879</v>
      </c>
      <c r="K8" s="113">
        <f>'Raw FS'!G37</f>
        <v>1321</v>
      </c>
    </row>
    <row r="9" spans="1:11" x14ac:dyDescent="0.3">
      <c r="B9" s="114" t="s">
        <v>85</v>
      </c>
      <c r="C9" s="108"/>
      <c r="D9" s="108"/>
      <c r="E9" s="108"/>
      <c r="F9" s="108"/>
      <c r="G9" s="109">
        <f>SUM(G5:G8)</f>
        <v>4179</v>
      </c>
      <c r="H9" s="109">
        <f t="shared" ref="H9:K9" si="0">SUM(H5:H8)</f>
        <v>4778</v>
      </c>
      <c r="I9" s="109">
        <f t="shared" si="0"/>
        <v>4324</v>
      </c>
      <c r="J9" s="109">
        <f t="shared" si="0"/>
        <v>6077</v>
      </c>
      <c r="K9" s="109">
        <f t="shared" si="0"/>
        <v>6645</v>
      </c>
    </row>
    <row r="11" spans="1:11" x14ac:dyDescent="0.3">
      <c r="B11" s="2" t="s">
        <v>296</v>
      </c>
    </row>
    <row r="12" spans="1:11" x14ac:dyDescent="0.3">
      <c r="B12" s="113" t="str">
        <f>'Raw FS'!B13</f>
        <v>Trade Payables</v>
      </c>
      <c r="C12" s="113"/>
      <c r="D12" s="113"/>
      <c r="E12" s="113"/>
      <c r="F12" s="113"/>
      <c r="G12" s="113">
        <f>'Raw FS'!C13</f>
        <v>578</v>
      </c>
      <c r="H12" s="113">
        <f>'Raw FS'!D13</f>
        <v>589</v>
      </c>
      <c r="I12" s="113">
        <f>'Raw FS'!E13</f>
        <v>754</v>
      </c>
      <c r="J12" s="113">
        <f>'Raw FS'!F13</f>
        <v>985</v>
      </c>
      <c r="K12" s="113">
        <f>'Raw FS'!G13</f>
        <v>1071</v>
      </c>
    </row>
    <row r="13" spans="1:11" x14ac:dyDescent="0.3">
      <c r="B13" s="113" t="str">
        <f>'Raw FS'!B14</f>
        <v>Other liability items</v>
      </c>
      <c r="C13" s="113"/>
      <c r="D13" s="113"/>
      <c r="E13" s="113"/>
      <c r="F13" s="113"/>
      <c r="G13" s="113">
        <f>'Raw FS'!C14</f>
        <v>500</v>
      </c>
      <c r="H13" s="113">
        <f>'Raw FS'!D14</f>
        <v>557</v>
      </c>
      <c r="I13" s="113">
        <f>'Raw FS'!E14</f>
        <v>629</v>
      </c>
      <c r="J13" s="113">
        <f>'Raw FS'!F14</f>
        <v>898</v>
      </c>
      <c r="K13" s="113">
        <f>'Raw FS'!G14</f>
        <v>996</v>
      </c>
    </row>
    <row r="14" spans="1:11" x14ac:dyDescent="0.3">
      <c r="B14" s="114" t="s">
        <v>297</v>
      </c>
      <c r="C14" s="114"/>
      <c r="D14" s="114"/>
      <c r="E14" s="114"/>
      <c r="F14" s="114"/>
      <c r="G14" s="115">
        <f>SUM(G12:G13)</f>
        <v>1078</v>
      </c>
      <c r="H14" s="115">
        <f>SUM(H12:H13)</f>
        <v>1146</v>
      </c>
      <c r="I14" s="115">
        <f>SUM(I12:I13)</f>
        <v>1383</v>
      </c>
      <c r="J14" s="115">
        <f>SUM(J12:J13)</f>
        <v>1883</v>
      </c>
      <c r="K14" s="115">
        <f>SUM(K12:K13)</f>
        <v>2067</v>
      </c>
    </row>
    <row r="16" spans="1:11" x14ac:dyDescent="0.3">
      <c r="A16" s="2" t="s">
        <v>57</v>
      </c>
      <c r="B16" s="117" t="s">
        <v>298</v>
      </c>
      <c r="C16" s="117"/>
      <c r="D16" s="117"/>
      <c r="E16" s="117"/>
      <c r="F16" s="117"/>
      <c r="G16" s="118">
        <f>G9-G14</f>
        <v>3101</v>
      </c>
      <c r="H16" s="118">
        <f t="shared" ref="H16:K16" si="1">H9-H14</f>
        <v>3632</v>
      </c>
      <c r="I16" s="118">
        <f t="shared" si="1"/>
        <v>2941</v>
      </c>
      <c r="J16" s="118">
        <f t="shared" si="1"/>
        <v>4194</v>
      </c>
      <c r="K16" s="118">
        <f t="shared" si="1"/>
        <v>4578</v>
      </c>
    </row>
    <row r="18" spans="1:11" x14ac:dyDescent="0.3">
      <c r="B18" s="2" t="s">
        <v>299</v>
      </c>
    </row>
    <row r="19" spans="1:11" x14ac:dyDescent="0.3">
      <c r="B19" s="113" t="str">
        <f>'Raw FS'!B19</f>
        <v>Land</v>
      </c>
      <c r="C19" s="113"/>
      <c r="D19" s="113"/>
      <c r="E19" s="113"/>
      <c r="F19" s="113"/>
      <c r="G19" s="113">
        <f>'Raw FS'!C19</f>
        <v>3483</v>
      </c>
      <c r="H19" s="113">
        <f>'Raw FS'!D19</f>
        <v>4527</v>
      </c>
      <c r="I19" s="113">
        <f>'Raw FS'!E19</f>
        <v>5519</v>
      </c>
      <c r="J19" s="113">
        <f>'Raw FS'!F19</f>
        <v>6904</v>
      </c>
      <c r="K19" s="113">
        <f>'Raw FS'!G19</f>
        <v>8595</v>
      </c>
    </row>
    <row r="20" spans="1:11" x14ac:dyDescent="0.3">
      <c r="B20" s="113" t="str">
        <f>'Raw FS'!B20</f>
        <v>Building</v>
      </c>
      <c r="C20" s="113"/>
      <c r="D20" s="113"/>
      <c r="E20" s="113"/>
      <c r="F20" s="113"/>
      <c r="G20" s="113">
        <f>'Raw FS'!C20</f>
        <v>3649</v>
      </c>
      <c r="H20" s="113">
        <f>'Raw FS'!D20</f>
        <v>4938</v>
      </c>
      <c r="I20" s="113">
        <f>'Raw FS'!E20</f>
        <v>6201</v>
      </c>
      <c r="J20" s="113">
        <f>'Raw FS'!F20</f>
        <v>7062</v>
      </c>
      <c r="K20" s="113">
        <f>'Raw FS'!G20</f>
        <v>8256</v>
      </c>
    </row>
    <row r="21" spans="1:11" x14ac:dyDescent="0.3">
      <c r="B21" s="113" t="str">
        <f>'Raw FS'!B21</f>
        <v>Plant Machinery</v>
      </c>
      <c r="C21" s="113"/>
      <c r="D21" s="113"/>
      <c r="E21" s="113"/>
      <c r="F21" s="113"/>
      <c r="G21" s="113">
        <f>'Raw FS'!C21</f>
        <v>352</v>
      </c>
      <c r="H21" s="113">
        <f>'Raw FS'!D21</f>
        <v>491</v>
      </c>
      <c r="I21" s="113">
        <f>'Raw FS'!E21</f>
        <v>656</v>
      </c>
      <c r="J21" s="113">
        <f>'Raw FS'!F21</f>
        <v>870</v>
      </c>
      <c r="K21" s="113">
        <f>'Raw FS'!G21</f>
        <v>1141</v>
      </c>
    </row>
    <row r="22" spans="1:11" x14ac:dyDescent="0.3">
      <c r="B22" s="113" t="str">
        <f>'Raw FS'!B22</f>
        <v>Equipments</v>
      </c>
      <c r="C22" s="113"/>
      <c r="D22" s="113"/>
      <c r="E22" s="113"/>
      <c r="F22" s="113"/>
      <c r="G22" s="113">
        <f>'Raw FS'!C22</f>
        <v>50</v>
      </c>
      <c r="H22" s="113">
        <f>'Raw FS'!D22</f>
        <v>73</v>
      </c>
      <c r="I22" s="113">
        <f>'Raw FS'!E22</f>
        <v>85</v>
      </c>
      <c r="J22" s="113">
        <f>'Raw FS'!F22</f>
        <v>97</v>
      </c>
      <c r="K22" s="113">
        <f>'Raw FS'!G22</f>
        <v>115</v>
      </c>
    </row>
    <row r="23" spans="1:11" x14ac:dyDescent="0.3">
      <c r="B23" s="113" t="str">
        <f>'Raw FS'!B23</f>
        <v>Computers</v>
      </c>
      <c r="C23" s="113"/>
      <c r="D23" s="113"/>
      <c r="E23" s="113"/>
      <c r="F23" s="113"/>
      <c r="G23" s="113">
        <f>'Raw FS'!C23</f>
        <v>119</v>
      </c>
      <c r="H23" s="113">
        <f>'Raw FS'!D23</f>
        <v>153</v>
      </c>
      <c r="I23" s="113">
        <f>'Raw FS'!E23</f>
        <v>190</v>
      </c>
      <c r="J23" s="113">
        <f>'Raw FS'!F23</f>
        <v>219</v>
      </c>
      <c r="K23" s="113">
        <f>'Raw FS'!G23</f>
        <v>276</v>
      </c>
    </row>
    <row r="24" spans="1:11" x14ac:dyDescent="0.3">
      <c r="B24" s="113" t="str">
        <f>'Raw FS'!B24</f>
        <v>Furniture n fittings</v>
      </c>
      <c r="C24" s="113"/>
      <c r="D24" s="113"/>
      <c r="E24" s="113"/>
      <c r="F24" s="113"/>
      <c r="G24" s="113">
        <f>'Raw FS'!C24</f>
        <v>581</v>
      </c>
      <c r="H24" s="113">
        <f>'Raw FS'!D24</f>
        <v>772</v>
      </c>
      <c r="I24" s="113">
        <f>'Raw FS'!E24</f>
        <v>968</v>
      </c>
      <c r="J24" s="113">
        <f>'Raw FS'!F24</f>
        <v>1205</v>
      </c>
      <c r="K24" s="113">
        <f>'Raw FS'!G24</f>
        <v>1515</v>
      </c>
    </row>
    <row r="25" spans="1:11" x14ac:dyDescent="0.3">
      <c r="B25" s="113" t="str">
        <f>'Raw FS'!B25</f>
        <v>Vehicles</v>
      </c>
      <c r="C25" s="113"/>
      <c r="D25" s="113"/>
      <c r="E25" s="113"/>
      <c r="F25" s="113"/>
      <c r="G25" s="113">
        <f>'Raw FS'!C25</f>
        <v>4</v>
      </c>
      <c r="H25" s="113">
        <f>'Raw FS'!D25</f>
        <v>3</v>
      </c>
      <c r="I25" s="113">
        <f>'Raw FS'!E25</f>
        <v>15</v>
      </c>
      <c r="J25" s="113">
        <f>'Raw FS'!F25</f>
        <v>17</v>
      </c>
      <c r="K25" s="113">
        <f>'Raw FS'!G25</f>
        <v>6</v>
      </c>
    </row>
    <row r="26" spans="1:11" x14ac:dyDescent="0.3">
      <c r="B26" s="113" t="str">
        <f>'Raw FS'!B26</f>
        <v>Intangible Assets</v>
      </c>
      <c r="C26" s="113"/>
      <c r="D26" s="113"/>
      <c r="E26" s="113"/>
      <c r="F26" s="113"/>
      <c r="G26" s="113">
        <f>'Raw FS'!C26</f>
        <v>78</v>
      </c>
      <c r="H26" s="113">
        <f>'Raw FS'!D26</f>
        <v>78</v>
      </c>
      <c r="I26" s="113">
        <f>'Raw FS'!E26</f>
        <v>78</v>
      </c>
      <c r="J26" s="113">
        <f>'Raw FS'!F26</f>
        <v>78</v>
      </c>
      <c r="K26" s="113">
        <f>'Raw FS'!G26</f>
        <v>78</v>
      </c>
    </row>
    <row r="27" spans="1:11" ht="15" thickBot="1" x14ac:dyDescent="0.35">
      <c r="B27" s="113" t="str">
        <f>'Raw FS'!B27</f>
        <v>Other fixed assets</v>
      </c>
      <c r="C27" s="113"/>
      <c r="D27" s="113"/>
      <c r="E27" s="113"/>
      <c r="F27" s="113"/>
      <c r="G27" s="113">
        <f>'Raw FS'!C27</f>
        <v>81</v>
      </c>
      <c r="H27" s="113">
        <f>'Raw FS'!D27</f>
        <v>91</v>
      </c>
      <c r="I27" s="113">
        <f>'Raw FS'!E27</f>
        <v>105</v>
      </c>
      <c r="J27" s="113">
        <f>'Raw FS'!F27</f>
        <v>119</v>
      </c>
      <c r="K27" s="113">
        <f>'Raw FS'!G27</f>
        <v>124</v>
      </c>
    </row>
    <row r="28" spans="1:11" ht="15" thickTop="1" x14ac:dyDescent="0.3">
      <c r="B28" s="119" t="str">
        <f>'Raw FS'!B28</f>
        <v>Gross Block</v>
      </c>
      <c r="C28" s="119"/>
      <c r="D28" s="119"/>
      <c r="E28" s="119"/>
      <c r="F28" s="119"/>
      <c r="G28" s="119">
        <f>SUM(G19:G27)</f>
        <v>8397</v>
      </c>
      <c r="H28" s="119">
        <f t="shared" ref="H28:K28" si="2">SUM(H19:H27)</f>
        <v>11126</v>
      </c>
      <c r="I28" s="119">
        <f t="shared" si="2"/>
        <v>13817</v>
      </c>
      <c r="J28" s="119">
        <f t="shared" si="2"/>
        <v>16571</v>
      </c>
      <c r="K28" s="119">
        <f t="shared" si="2"/>
        <v>20106</v>
      </c>
    </row>
    <row r="29" spans="1:11" x14ac:dyDescent="0.3">
      <c r="B29" s="111" t="s">
        <v>284</v>
      </c>
      <c r="C29" s="111"/>
      <c r="D29" s="111"/>
      <c r="E29" s="111"/>
      <c r="F29" s="111"/>
      <c r="G29" s="111">
        <f>'Raw FS'!C30</f>
        <v>1020</v>
      </c>
      <c r="H29" s="111">
        <f>'Raw FS'!D30</f>
        <v>1129</v>
      </c>
      <c r="I29" s="111">
        <f>'Raw FS'!E30</f>
        <v>829</v>
      </c>
      <c r="J29" s="111">
        <f>'Raw FS'!F30</f>
        <v>935</v>
      </c>
      <c r="K29" s="111">
        <f>'Raw FS'!G30</f>
        <v>1099</v>
      </c>
    </row>
    <row r="30" spans="1:11" x14ac:dyDescent="0.3">
      <c r="B30" s="111" t="str">
        <f>'Raw FS'!B29</f>
        <v>Accumulated Depreciation</v>
      </c>
      <c r="C30" s="111"/>
      <c r="D30" s="111"/>
      <c r="E30" s="111"/>
      <c r="F30" s="111"/>
      <c r="G30" s="9">
        <f>'Raw FS'!C29</f>
        <v>1387</v>
      </c>
      <c r="H30" s="9">
        <f>'Raw FS'!D29</f>
        <v>1867</v>
      </c>
      <c r="I30" s="9">
        <f>'Raw FS'!E29</f>
        <v>2476</v>
      </c>
      <c r="J30" s="9">
        <f>'Raw FS'!F29</f>
        <v>3156</v>
      </c>
      <c r="K30" s="9">
        <f>'Raw FS'!G29</f>
        <v>3900</v>
      </c>
    </row>
    <row r="31" spans="1:11" x14ac:dyDescent="0.3">
      <c r="A31" s="2" t="s">
        <v>57</v>
      </c>
      <c r="B31" s="120" t="s">
        <v>300</v>
      </c>
      <c r="C31" s="120"/>
      <c r="D31" s="120"/>
      <c r="E31" s="120"/>
      <c r="F31" s="120"/>
      <c r="G31" s="121">
        <f>G28+G29-G30</f>
        <v>8030</v>
      </c>
      <c r="H31" s="121">
        <f t="shared" ref="H31:K31" si="3">H28+H29-H30</f>
        <v>10388</v>
      </c>
      <c r="I31" s="121">
        <f t="shared" si="3"/>
        <v>12170</v>
      </c>
      <c r="J31" s="121">
        <f t="shared" si="3"/>
        <v>14350</v>
      </c>
      <c r="K31" s="121">
        <f t="shared" si="3"/>
        <v>17305</v>
      </c>
    </row>
    <row r="33" spans="1:11" x14ac:dyDescent="0.3">
      <c r="A33" s="2" t="s">
        <v>57</v>
      </c>
      <c r="B33" s="117" t="s">
        <v>301</v>
      </c>
      <c r="C33" s="117"/>
      <c r="D33" s="117"/>
      <c r="E33" s="117"/>
      <c r="F33" s="117"/>
      <c r="G33" s="118">
        <f>G31+G16</f>
        <v>11131</v>
      </c>
      <c r="H33" s="118">
        <f t="shared" ref="H33:K33" si="4">H31+H16</f>
        <v>14020</v>
      </c>
      <c r="I33" s="118">
        <f t="shared" si="4"/>
        <v>15111</v>
      </c>
      <c r="J33" s="118">
        <f t="shared" si="4"/>
        <v>18544</v>
      </c>
      <c r="K33" s="118">
        <f t="shared" si="4"/>
        <v>21883</v>
      </c>
    </row>
    <row r="34" spans="1:11" x14ac:dyDescent="0.3">
      <c r="B34" s="122" t="s">
        <v>165</v>
      </c>
      <c r="C34" s="122"/>
      <c r="D34" s="122"/>
      <c r="E34" s="122"/>
      <c r="F34" s="122"/>
      <c r="G34" s="123">
        <f>HistoricalFS!G24</f>
        <v>10552</v>
      </c>
      <c r="H34" s="123">
        <f>HistoricalFS!H24</f>
        <v>11766</v>
      </c>
      <c r="I34" s="123">
        <f>HistoricalFS!I24</f>
        <v>13010</v>
      </c>
      <c r="J34" s="123">
        <f>HistoricalFS!J24</f>
        <v>13443</v>
      </c>
      <c r="K34" s="123">
        <f>HistoricalFS!K24</f>
        <v>13488</v>
      </c>
    </row>
    <row r="36" spans="1:11" x14ac:dyDescent="0.3">
      <c r="A36" s="2" t="s">
        <v>57</v>
      </c>
      <c r="B36" s="117" t="s">
        <v>302</v>
      </c>
      <c r="C36" s="117"/>
      <c r="D36" s="117"/>
      <c r="E36" s="117"/>
      <c r="F36" s="117"/>
      <c r="G36" s="124">
        <f>G34/G33</f>
        <v>0.94798311023268345</v>
      </c>
      <c r="H36" s="124">
        <f t="shared" ref="H36:K36" si="5">H34/H33</f>
        <v>0.83922967189728959</v>
      </c>
      <c r="I36" s="124">
        <f t="shared" si="5"/>
        <v>0.86096221295744824</v>
      </c>
      <c r="J36" s="124">
        <f t="shared" si="5"/>
        <v>0.7249245038826575</v>
      </c>
      <c r="K36" s="124">
        <f t="shared" si="5"/>
        <v>0.61636887081295988</v>
      </c>
    </row>
    <row r="39" spans="1:11" x14ac:dyDescent="0.3">
      <c r="A39" s="2" t="s">
        <v>57</v>
      </c>
      <c r="B39" s="40" t="s">
        <v>303</v>
      </c>
      <c r="C39" s="105"/>
      <c r="D39" s="105"/>
      <c r="E39" s="105"/>
      <c r="F39" s="105"/>
      <c r="G39" s="101">
        <v>44621</v>
      </c>
      <c r="H39" s="101">
        <v>44986</v>
      </c>
      <c r="I39" s="101">
        <v>45352</v>
      </c>
      <c r="J39" s="101">
        <v>45717</v>
      </c>
      <c r="K39" s="101">
        <v>46082</v>
      </c>
    </row>
    <row r="41" spans="1:11" x14ac:dyDescent="0.3">
      <c r="B41" t="s">
        <v>304</v>
      </c>
      <c r="G41" s="9">
        <f>-SUM(HistoricalFS!G83:G84)</f>
        <v>2027</v>
      </c>
      <c r="H41" s="9">
        <f>-SUM(HistoricalFS!H83:H84)</f>
        <v>2389</v>
      </c>
      <c r="I41" s="9">
        <f>-SUM(HistoricalFS!I83:I84)</f>
        <v>2207</v>
      </c>
      <c r="J41" s="9">
        <f>-SUM(HistoricalFS!J83:J84)</f>
        <v>2722</v>
      </c>
      <c r="K41" s="9">
        <f>-SUM(HistoricalFS!K83:K84)</f>
        <v>3417</v>
      </c>
    </row>
    <row r="42" spans="1:11" x14ac:dyDescent="0.3">
      <c r="B42" t="s">
        <v>305</v>
      </c>
      <c r="G42" s="125" t="s">
        <v>59</v>
      </c>
      <c r="H42" s="9">
        <f>H16-G16</f>
        <v>531</v>
      </c>
      <c r="I42" s="9">
        <f t="shared" ref="I42:K42" si="6">I16-H16</f>
        <v>-691</v>
      </c>
      <c r="J42" s="9">
        <f t="shared" si="6"/>
        <v>1253</v>
      </c>
      <c r="K42" s="9">
        <f t="shared" si="6"/>
        <v>384</v>
      </c>
    </row>
    <row r="44" spans="1:11" x14ac:dyDescent="0.3">
      <c r="B44" t="s">
        <v>165</v>
      </c>
      <c r="G44" s="116">
        <f>G34</f>
        <v>10552</v>
      </c>
      <c r="H44" s="116">
        <f t="shared" ref="H44:K44" si="7">H34</f>
        <v>11766</v>
      </c>
      <c r="I44" s="116">
        <f t="shared" si="7"/>
        <v>13010</v>
      </c>
      <c r="J44" s="116">
        <f t="shared" si="7"/>
        <v>13443</v>
      </c>
      <c r="K44" s="116">
        <f t="shared" si="7"/>
        <v>13488</v>
      </c>
    </row>
    <row r="45" spans="1:11" x14ac:dyDescent="0.3">
      <c r="B45" t="s">
        <v>306</v>
      </c>
      <c r="G45" s="126">
        <v>0.26</v>
      </c>
      <c r="H45" s="126">
        <v>0.26</v>
      </c>
      <c r="I45" s="126">
        <v>0.26</v>
      </c>
      <c r="J45" s="126">
        <v>0.26</v>
      </c>
      <c r="K45" s="126">
        <v>0.26</v>
      </c>
    </row>
    <row r="46" spans="1:11" x14ac:dyDescent="0.3">
      <c r="B46" t="s">
        <v>308</v>
      </c>
      <c r="G46" s="116">
        <f>G44*(1-G45)</f>
        <v>7808.48</v>
      </c>
      <c r="H46" s="116">
        <f t="shared" ref="H46:K46" si="8">H44*(1-H45)</f>
        <v>8706.84</v>
      </c>
      <c r="I46" s="116">
        <f t="shared" si="8"/>
        <v>9627.4</v>
      </c>
      <c r="J46" s="116">
        <f t="shared" si="8"/>
        <v>9947.82</v>
      </c>
      <c r="K46" s="116">
        <f t="shared" si="8"/>
        <v>9981.119999999999</v>
      </c>
    </row>
    <row r="47" spans="1:11" x14ac:dyDescent="0.3">
      <c r="G47" s="116"/>
      <c r="H47" s="116"/>
      <c r="I47" s="116"/>
      <c r="J47" s="116"/>
      <c r="K47" s="116"/>
    </row>
    <row r="48" spans="1:11" x14ac:dyDescent="0.3">
      <c r="B48" t="s">
        <v>307</v>
      </c>
      <c r="G48" s="125" t="s">
        <v>59</v>
      </c>
      <c r="H48" s="9">
        <f>SUM(H41:H42)</f>
        <v>2920</v>
      </c>
      <c r="I48" s="9">
        <f t="shared" ref="I48:K48" si="9">SUM(I41:I42)</f>
        <v>1516</v>
      </c>
      <c r="J48" s="9">
        <f t="shared" si="9"/>
        <v>3975</v>
      </c>
      <c r="K48" s="9">
        <f t="shared" si="9"/>
        <v>3801</v>
      </c>
    </row>
    <row r="49" spans="1:11" x14ac:dyDescent="0.3">
      <c r="A49" s="2" t="s">
        <v>57</v>
      </c>
      <c r="B49" s="49" t="s">
        <v>309</v>
      </c>
      <c r="C49" s="117"/>
      <c r="D49" s="117"/>
      <c r="E49" s="117"/>
      <c r="F49" s="117" t="s">
        <v>131</v>
      </c>
      <c r="G49" s="117" t="s">
        <v>131</v>
      </c>
      <c r="H49" s="124">
        <f>H48/H46</f>
        <v>0.33536851486876984</v>
      </c>
      <c r="I49" s="124">
        <f t="shared" ref="I49:K49" si="10">I48/I46</f>
        <v>0.1574672289507032</v>
      </c>
      <c r="J49" s="124">
        <f t="shared" si="10"/>
        <v>0.39958503471112267</v>
      </c>
      <c r="K49" s="124">
        <f t="shared" si="10"/>
        <v>0.38081898624603255</v>
      </c>
    </row>
    <row r="50" spans="1:11" x14ac:dyDescent="0.3">
      <c r="I50" s="127" t="s">
        <v>310</v>
      </c>
      <c r="J50" s="127"/>
      <c r="K50" s="128">
        <f>AVERAGE(H49:K49)</f>
        <v>0.31830994119415706</v>
      </c>
    </row>
    <row r="51" spans="1:11" x14ac:dyDescent="0.3">
      <c r="I51" s="127" t="s">
        <v>311</v>
      </c>
      <c r="J51" s="127"/>
      <c r="K51" s="128">
        <f>MEDIAN(H49:K49)</f>
        <v>0.35809375055740122</v>
      </c>
    </row>
    <row r="54" spans="1:11" x14ac:dyDescent="0.3">
      <c r="A54" s="2" t="s">
        <v>57</v>
      </c>
      <c r="B54" s="40" t="s">
        <v>312</v>
      </c>
      <c r="C54" s="105"/>
      <c r="D54" s="105"/>
      <c r="E54" s="105"/>
      <c r="F54" s="105"/>
      <c r="G54" s="101">
        <v>44621</v>
      </c>
      <c r="H54" s="101">
        <v>44986</v>
      </c>
      <c r="I54" s="101">
        <v>45352</v>
      </c>
      <c r="J54" s="101">
        <v>45717</v>
      </c>
      <c r="K54" s="101">
        <v>46082</v>
      </c>
    </row>
    <row r="56" spans="1:11" x14ac:dyDescent="0.3">
      <c r="B56" t="s">
        <v>309</v>
      </c>
      <c r="G56" s="125" t="str">
        <f>G48</f>
        <v>-</v>
      </c>
      <c r="H56" s="10">
        <f>H49</f>
        <v>0.33536851486876984</v>
      </c>
      <c r="I56" s="10">
        <f t="shared" ref="I56:K56" si="11">I49</f>
        <v>0.1574672289507032</v>
      </c>
      <c r="J56" s="10">
        <f t="shared" si="11"/>
        <v>0.39958503471112267</v>
      </c>
      <c r="K56" s="10">
        <f t="shared" si="11"/>
        <v>0.38081898624603255</v>
      </c>
    </row>
    <row r="57" spans="1:11" x14ac:dyDescent="0.3">
      <c r="B57" t="s">
        <v>302</v>
      </c>
      <c r="G57" s="35">
        <f>G36</f>
        <v>0.94798311023268345</v>
      </c>
      <c r="H57" s="35">
        <f t="shared" ref="H57:K57" si="12">H36</f>
        <v>0.83922967189728959</v>
      </c>
      <c r="I57" s="35">
        <f t="shared" si="12"/>
        <v>0.86096221295744824</v>
      </c>
      <c r="J57" s="35">
        <f t="shared" si="12"/>
        <v>0.7249245038826575</v>
      </c>
      <c r="K57" s="35">
        <f t="shared" si="12"/>
        <v>0.61636887081295988</v>
      </c>
    </row>
    <row r="59" spans="1:11" x14ac:dyDescent="0.3">
      <c r="A59" s="2" t="s">
        <v>57</v>
      </c>
      <c r="B59" s="117" t="s">
        <v>313</v>
      </c>
      <c r="C59" s="117"/>
      <c r="D59" s="117"/>
      <c r="E59" s="117"/>
      <c r="F59" s="117"/>
      <c r="G59" s="129" t="s">
        <v>59</v>
      </c>
      <c r="H59" s="124">
        <f>H57*H56</f>
        <v>0.281451208697999</v>
      </c>
      <c r="I59" s="124">
        <f t="shared" ref="I59:K59" si="13">I57*I56</f>
        <v>0.13557333390567458</v>
      </c>
      <c r="J59" s="124">
        <f t="shared" si="13"/>
        <v>0.28966898304689509</v>
      </c>
      <c r="K59" s="124">
        <f t="shared" si="13"/>
        <v>0.23472496853660318</v>
      </c>
    </row>
    <row r="60" spans="1:11" x14ac:dyDescent="0.3">
      <c r="I60" s="127" t="s">
        <v>467</v>
      </c>
      <c r="J60" s="127"/>
      <c r="K60" s="128">
        <f>AVERAGE(H59:K59)</f>
        <v>0.23535462354679296</v>
      </c>
    </row>
    <row r="61" spans="1:11" x14ac:dyDescent="0.3">
      <c r="I61" s="127" t="s">
        <v>468</v>
      </c>
      <c r="J61" s="127"/>
      <c r="K61" s="128">
        <f>MEDIAN(H59:K59)</f>
        <v>0.25808808861730109</v>
      </c>
    </row>
    <row r="336" spans="2:2" x14ac:dyDescent="0.3">
      <c r="B336" s="150">
        <v>46146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9C61-0134-4C22-A80B-4FEDF5676E15}">
  <dimension ref="B2:F335"/>
  <sheetViews>
    <sheetView showGridLines="0" workbookViewId="0">
      <selection activeCell="B9" sqref="B9"/>
    </sheetView>
  </sheetViews>
  <sheetFormatPr defaultRowHeight="14.4" outlineLevelRow="1" x14ac:dyDescent="0.3"/>
  <cols>
    <col min="1" max="1" width="1.88671875" customWidth="1"/>
    <col min="3" max="3" width="9.77734375" bestFit="1" customWidth="1"/>
    <col min="5" max="5" width="18.44140625" bestFit="1" customWidth="1"/>
    <col min="6" max="6" width="12" bestFit="1" customWidth="1"/>
  </cols>
  <sheetData>
    <row r="2" spans="2:6" x14ac:dyDescent="0.3">
      <c r="B2" s="197" t="s">
        <v>473</v>
      </c>
      <c r="C2" s="197"/>
      <c r="D2" s="197"/>
      <c r="E2" s="197"/>
      <c r="F2" s="197"/>
    </row>
    <row r="3" spans="2:6" hidden="1" outlineLevel="1" x14ac:dyDescent="0.3"/>
    <row r="4" spans="2:6" hidden="1" outlineLevel="1" x14ac:dyDescent="0.3">
      <c r="B4" s="2" t="s">
        <v>251</v>
      </c>
      <c r="C4" s="2" t="s">
        <v>292</v>
      </c>
    </row>
    <row r="5" spans="2:6" hidden="1" outlineLevel="1" x14ac:dyDescent="0.3">
      <c r="B5" s="39">
        <v>2000</v>
      </c>
      <c r="C5" s="10">
        <v>-0.14649999999999999</v>
      </c>
      <c r="E5" s="2" t="s">
        <v>293</v>
      </c>
      <c r="F5" s="106">
        <f>AVERAGE(C5:C30)</f>
        <v>0.1514923076923077</v>
      </c>
    </row>
    <row r="6" spans="2:6" hidden="1" outlineLevel="1" x14ac:dyDescent="0.3">
      <c r="B6" s="39">
        <v>2001</v>
      </c>
      <c r="C6" s="10">
        <v>-0.1618</v>
      </c>
      <c r="E6" s="2" t="s">
        <v>203</v>
      </c>
      <c r="F6" s="107">
        <f>F5-WACC!J22</f>
        <v>8.1652307692307705E-2</v>
      </c>
    </row>
    <row r="7" spans="2:6" hidden="1" outlineLevel="1" x14ac:dyDescent="0.3">
      <c r="B7" s="39">
        <v>2002</v>
      </c>
      <c r="C7" s="10">
        <v>3.2500000000000001E-2</v>
      </c>
    </row>
    <row r="8" spans="2:6" hidden="1" outlineLevel="1" x14ac:dyDescent="0.3">
      <c r="B8" s="39">
        <v>2003</v>
      </c>
      <c r="C8" s="10">
        <v>0.71900000000000008</v>
      </c>
    </row>
    <row r="9" spans="2:6" hidden="1" outlineLevel="1" x14ac:dyDescent="0.3">
      <c r="B9" s="39">
        <v>2004</v>
      </c>
      <c r="C9" s="10">
        <v>0.10679999999999999</v>
      </c>
    </row>
    <row r="10" spans="2:6" hidden="1" outlineLevel="1" x14ac:dyDescent="0.3">
      <c r="B10" s="39">
        <v>2005</v>
      </c>
      <c r="C10" s="10">
        <v>0.36340000000000006</v>
      </c>
    </row>
    <row r="11" spans="2:6" hidden="1" outlineLevel="1" x14ac:dyDescent="0.3">
      <c r="B11" s="39">
        <v>2006</v>
      </c>
      <c r="C11" s="10">
        <v>0.39829999999999999</v>
      </c>
    </row>
    <row r="12" spans="2:6" hidden="1" outlineLevel="1" x14ac:dyDescent="0.3">
      <c r="B12" s="39">
        <v>2007</v>
      </c>
      <c r="C12" s="10">
        <v>0.54770000000000008</v>
      </c>
    </row>
    <row r="13" spans="2:6" hidden="1" outlineLevel="1" x14ac:dyDescent="0.3">
      <c r="B13" s="39">
        <v>2008</v>
      </c>
      <c r="C13" s="10">
        <v>-0.51790000000000003</v>
      </c>
    </row>
    <row r="14" spans="2:6" hidden="1" outlineLevel="1" x14ac:dyDescent="0.3">
      <c r="B14" s="39">
        <v>2009</v>
      </c>
      <c r="C14" s="10">
        <v>0.75760000000000005</v>
      </c>
    </row>
    <row r="15" spans="2:6" hidden="1" outlineLevel="1" x14ac:dyDescent="0.3">
      <c r="B15" s="39">
        <v>2010</v>
      </c>
      <c r="C15" s="10">
        <v>0.17949999999999999</v>
      </c>
    </row>
    <row r="16" spans="2:6" hidden="1" outlineLevel="1" x14ac:dyDescent="0.3">
      <c r="B16" s="39">
        <v>2011</v>
      </c>
      <c r="C16" s="10">
        <v>-0.2462</v>
      </c>
    </row>
    <row r="17" spans="2:3" hidden="1" outlineLevel="1" x14ac:dyDescent="0.3">
      <c r="B17" s="39">
        <v>2012</v>
      </c>
      <c r="C17" s="10">
        <v>0.27699999999999997</v>
      </c>
    </row>
    <row r="18" spans="2:3" hidden="1" outlineLevel="1" x14ac:dyDescent="0.3">
      <c r="B18" s="39">
        <v>2013</v>
      </c>
      <c r="C18" s="10">
        <v>6.7599999999999993E-2</v>
      </c>
    </row>
    <row r="19" spans="2:3" hidden="1" outlineLevel="1" x14ac:dyDescent="0.3">
      <c r="B19" s="39">
        <v>2014</v>
      </c>
      <c r="C19" s="10">
        <v>0.31390000000000001</v>
      </c>
    </row>
    <row r="20" spans="2:3" hidden="1" outlineLevel="1" x14ac:dyDescent="0.3">
      <c r="B20" s="39">
        <v>2015</v>
      </c>
      <c r="C20" s="10">
        <v>-4.0599999999999997E-2</v>
      </c>
    </row>
    <row r="21" spans="2:3" hidden="1" outlineLevel="1" x14ac:dyDescent="0.3">
      <c r="B21" s="39">
        <v>2016</v>
      </c>
      <c r="C21" s="10">
        <v>3.0099999999999998E-2</v>
      </c>
    </row>
    <row r="22" spans="2:3" hidden="1" outlineLevel="1" x14ac:dyDescent="0.3">
      <c r="B22" s="39">
        <v>2017</v>
      </c>
      <c r="C22" s="10">
        <v>0.28649999999999998</v>
      </c>
    </row>
    <row r="23" spans="2:3" hidden="1" outlineLevel="1" x14ac:dyDescent="0.3">
      <c r="B23" s="39">
        <v>2018</v>
      </c>
      <c r="C23" s="10">
        <v>3.15E-2</v>
      </c>
    </row>
    <row r="24" spans="2:3" hidden="1" outlineLevel="1" x14ac:dyDescent="0.3">
      <c r="B24" s="39">
        <v>2019</v>
      </c>
      <c r="C24" s="10">
        <v>0.1202</v>
      </c>
    </row>
    <row r="25" spans="2:3" hidden="1" outlineLevel="1" x14ac:dyDescent="0.3">
      <c r="B25" s="39">
        <v>2020</v>
      </c>
      <c r="C25" s="10">
        <v>0.14899999999999999</v>
      </c>
    </row>
    <row r="26" spans="2:3" hidden="1" outlineLevel="1" x14ac:dyDescent="0.3">
      <c r="B26" s="39">
        <v>2021</v>
      </c>
      <c r="C26" s="10">
        <v>0.2412</v>
      </c>
    </row>
    <row r="27" spans="2:3" hidden="1" outlineLevel="1" x14ac:dyDescent="0.3">
      <c r="B27" s="39">
        <v>2022</v>
      </c>
      <c r="C27" s="10">
        <v>4.3200000000000002E-2</v>
      </c>
    </row>
    <row r="28" spans="2:3" hidden="1" outlineLevel="1" x14ac:dyDescent="0.3">
      <c r="B28" s="39">
        <v>2023</v>
      </c>
      <c r="C28" s="10">
        <v>0.19420000000000001</v>
      </c>
    </row>
    <row r="29" spans="2:3" hidden="1" outlineLevel="1" x14ac:dyDescent="0.3">
      <c r="B29" s="39">
        <v>2024</v>
      </c>
      <c r="C29" s="10">
        <v>8.7499999999999994E-2</v>
      </c>
    </row>
    <row r="30" spans="2:3" hidden="1" outlineLevel="1" x14ac:dyDescent="0.3">
      <c r="B30" s="39">
        <v>2025</v>
      </c>
      <c r="C30" s="10">
        <v>0.1051</v>
      </c>
    </row>
    <row r="31" spans="2:3" collapsed="1" x14ac:dyDescent="0.3">
      <c r="B31" s="39"/>
    </row>
    <row r="335" spans="2:2" x14ac:dyDescent="0.3">
      <c r="B335" s="150">
        <v>46146</v>
      </c>
    </row>
  </sheetData>
  <mergeCells count="1">
    <mergeCell ref="B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7F60-EFE1-4F81-8627-1A8305020A92}">
  <dimension ref="M2:Q8"/>
  <sheetViews>
    <sheetView showGridLines="0" workbookViewId="0">
      <selection activeCell="N17" sqref="N17"/>
    </sheetView>
  </sheetViews>
  <sheetFormatPr defaultRowHeight="14.4" x14ac:dyDescent="0.3"/>
  <cols>
    <col min="1" max="1" width="1.88671875" customWidth="1"/>
    <col min="13" max="13" width="8.5546875" bestFit="1" customWidth="1"/>
    <col min="14" max="17" width="12" bestFit="1" customWidth="1"/>
  </cols>
  <sheetData>
    <row r="2" spans="13:17" x14ac:dyDescent="0.3">
      <c r="M2" s="40" t="s">
        <v>510</v>
      </c>
      <c r="N2" s="40"/>
      <c r="O2" s="40"/>
      <c r="P2" s="40"/>
      <c r="Q2" s="40"/>
    </row>
    <row r="3" spans="13:17" x14ac:dyDescent="0.3">
      <c r="N3" t="s">
        <v>511</v>
      </c>
      <c r="O3" t="s">
        <v>327</v>
      </c>
      <c r="P3" t="s">
        <v>512</v>
      </c>
      <c r="Q3" t="s">
        <v>326</v>
      </c>
    </row>
    <row r="4" spans="13:17" x14ac:dyDescent="0.3">
      <c r="M4" t="s">
        <v>513</v>
      </c>
      <c r="N4" s="154">
        <f>'Comps Val'!O27</f>
        <v>2065.9499884071338</v>
      </c>
      <c r="O4" s="154">
        <v>2065.9499884071338</v>
      </c>
      <c r="P4" s="154">
        <f>'Comps Val'!Q27</f>
        <v>11537.205233535569</v>
      </c>
      <c r="Q4" s="154">
        <v>11537.205233535569</v>
      </c>
    </row>
    <row r="5" spans="13:17" x14ac:dyDescent="0.3">
      <c r="M5" t="s">
        <v>514</v>
      </c>
      <c r="N5" s="154">
        <f>DCF!J22</f>
        <v>741.13878265816936</v>
      </c>
      <c r="O5" s="154">
        <v>741.13878265816936</v>
      </c>
      <c r="P5" s="154">
        <f>DCF!J25</f>
        <v>849.88411253701111</v>
      </c>
      <c r="Q5" s="154">
        <v>849.88411253701111</v>
      </c>
    </row>
    <row r="6" spans="13:17" x14ac:dyDescent="0.3">
      <c r="M6" t="s">
        <v>515</v>
      </c>
      <c r="N6" s="154">
        <f>DCF!I22</f>
        <v>815.25549724303039</v>
      </c>
      <c r="O6" s="154">
        <v>815.25549724303039</v>
      </c>
      <c r="P6" s="154">
        <f>DCF!I25</f>
        <v>952.30925602339482</v>
      </c>
      <c r="Q6" s="154">
        <v>952.30925602339482</v>
      </c>
    </row>
    <row r="7" spans="13:17" x14ac:dyDescent="0.3">
      <c r="M7" t="s">
        <v>516</v>
      </c>
      <c r="N7" s="154">
        <f>DCF!G22</f>
        <v>1132.4401479839419</v>
      </c>
      <c r="O7" s="154">
        <v>1132.4401479839419</v>
      </c>
      <c r="P7" s="154">
        <f>DCF!G25</f>
        <v>1438.9673706137519</v>
      </c>
      <c r="Q7" s="154">
        <v>1438.9673706137519</v>
      </c>
    </row>
    <row r="8" spans="13:17" x14ac:dyDescent="0.3">
      <c r="M8" t="s">
        <v>517</v>
      </c>
      <c r="N8" s="154">
        <v>2022.5</v>
      </c>
      <c r="O8" s="154">
        <v>2022.5</v>
      </c>
      <c r="P8" s="154">
        <v>2750</v>
      </c>
      <c r="Q8" s="154">
        <v>2750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0D52-D922-4B92-B795-AB0602703509}">
  <dimension ref="B2:Q335"/>
  <sheetViews>
    <sheetView showGridLines="0" tabSelected="1" topLeftCell="A4" workbookViewId="0">
      <selection activeCell="P28" sqref="P28"/>
    </sheetView>
  </sheetViews>
  <sheetFormatPr defaultRowHeight="14.4" x14ac:dyDescent="0.3"/>
  <cols>
    <col min="1" max="1" width="1.88671875" customWidth="1"/>
    <col min="2" max="2" width="17.21875" bestFit="1" customWidth="1"/>
    <col min="3" max="3" width="11.77734375" bestFit="1" customWidth="1"/>
    <col min="15" max="15" width="11.44140625" bestFit="1" customWidth="1"/>
    <col min="16" max="16" width="10.21875" bestFit="1" customWidth="1"/>
  </cols>
  <sheetData>
    <row r="2" spans="2:17" x14ac:dyDescent="0.3">
      <c r="B2" s="171" t="s">
        <v>474</v>
      </c>
      <c r="C2" s="172"/>
      <c r="D2" s="173"/>
      <c r="E2" s="172"/>
      <c r="F2" s="172"/>
      <c r="G2" s="172"/>
      <c r="H2" s="172"/>
      <c r="I2" s="172"/>
      <c r="J2" s="172"/>
      <c r="K2" s="172"/>
      <c r="L2" s="172"/>
      <c r="M2" s="172"/>
      <c r="N2" s="172"/>
      <c r="O2" s="172"/>
      <c r="P2" s="172"/>
      <c r="Q2" s="172"/>
    </row>
    <row r="4" spans="2:17" x14ac:dyDescent="0.3">
      <c r="B4" s="40"/>
      <c r="C4" s="40"/>
      <c r="D4" s="201" t="s">
        <v>475</v>
      </c>
      <c r="E4" s="201"/>
      <c r="F4" s="201"/>
      <c r="G4" s="201"/>
      <c r="H4" s="201"/>
      <c r="I4" s="40"/>
      <c r="J4" s="40"/>
      <c r="K4" s="201" t="s">
        <v>476</v>
      </c>
      <c r="L4" s="201"/>
      <c r="M4" s="201"/>
      <c r="N4" s="40"/>
      <c r="O4" s="201" t="s">
        <v>477</v>
      </c>
      <c r="P4" s="201"/>
      <c r="Q4" s="201"/>
    </row>
    <row r="5" spans="2:17" ht="43.2" x14ac:dyDescent="0.3">
      <c r="B5" s="40" t="s">
        <v>180</v>
      </c>
      <c r="C5" s="40" t="s">
        <v>478</v>
      </c>
      <c r="D5" s="174" t="s">
        <v>464</v>
      </c>
      <c r="E5" s="174" t="s">
        <v>479</v>
      </c>
      <c r="F5" s="174" t="s">
        <v>480</v>
      </c>
      <c r="G5" s="40" t="s">
        <v>481</v>
      </c>
      <c r="H5" s="174" t="s">
        <v>482</v>
      </c>
      <c r="I5" s="174"/>
      <c r="J5" s="40"/>
      <c r="K5" s="40" t="s">
        <v>483</v>
      </c>
      <c r="L5" s="40" t="s">
        <v>66</v>
      </c>
      <c r="M5" s="40" t="s">
        <v>484</v>
      </c>
      <c r="N5" s="40"/>
      <c r="O5" s="40" t="s">
        <v>485</v>
      </c>
      <c r="P5" s="40" t="s">
        <v>486</v>
      </c>
      <c r="Q5" s="40" t="s">
        <v>487</v>
      </c>
    </row>
    <row r="6" spans="2:17" x14ac:dyDescent="0.3">
      <c r="B6" s="175"/>
      <c r="C6" s="175"/>
      <c r="D6" s="176"/>
      <c r="E6" s="176"/>
      <c r="F6" s="176"/>
      <c r="G6" s="175"/>
      <c r="H6" s="176"/>
      <c r="I6" s="176"/>
      <c r="J6" s="175"/>
      <c r="K6" s="175"/>
      <c r="L6" s="175"/>
      <c r="M6" s="175"/>
      <c r="N6" s="175"/>
      <c r="O6" s="175"/>
      <c r="P6" s="175"/>
    </row>
    <row r="7" spans="2:17" x14ac:dyDescent="0.3">
      <c r="B7" s="177" t="s">
        <v>315</v>
      </c>
      <c r="C7" s="177" t="str">
        <f>'Data Sheet Relative Valuation'!D3</f>
        <v>HINDUNILVR</v>
      </c>
      <c r="D7" s="178">
        <f>'Data Sheet Relative Valuation'!E3</f>
        <v>2256.3000000000002</v>
      </c>
      <c r="E7" s="179">
        <f>'Data Sheet Relative Valuation'!F3</f>
        <v>234.96</v>
      </c>
      <c r="F7" s="178">
        <f>'Data Sheet Relative Valuation'!G3</f>
        <v>530138.31000000006</v>
      </c>
      <c r="G7" s="178">
        <f>'Data Sheet Relative Valuation'!H3</f>
        <v>1478</v>
      </c>
      <c r="H7" s="178">
        <f>'Data Sheet Relative Valuation'!J3</f>
        <v>528368.31000000006</v>
      </c>
      <c r="I7" s="180"/>
      <c r="J7" s="180"/>
      <c r="K7" s="178">
        <f>'Data Sheet Relative Valuation'!L3</f>
        <v>64468</v>
      </c>
      <c r="L7" s="178">
        <f>'Data Sheet Relative Valuation'!M3</f>
        <v>15790</v>
      </c>
      <c r="M7" s="178">
        <f>'Data Sheet Relative Valuation'!N3</f>
        <v>15059</v>
      </c>
      <c r="N7" s="181"/>
      <c r="O7" s="182">
        <f>$H7/K7</f>
        <v>8.1958228888751012</v>
      </c>
      <c r="P7" s="182">
        <f t="shared" ref="P7:P12" si="0">$H7/L7</f>
        <v>33.462210892970241</v>
      </c>
      <c r="Q7" s="182">
        <f>F7/M7</f>
        <v>35.204084600571093</v>
      </c>
    </row>
    <row r="8" spans="2:17" x14ac:dyDescent="0.3">
      <c r="B8" s="183" t="s">
        <v>318</v>
      </c>
      <c r="C8" s="183" t="str">
        <f>'Data Sheet Relative Valuation'!D4</f>
        <v>NESTLEIND</v>
      </c>
      <c r="D8" s="184">
        <f>'Data Sheet Relative Valuation'!E4</f>
        <v>1466</v>
      </c>
      <c r="E8" s="185">
        <f>'Data Sheet Relative Valuation'!F4</f>
        <v>192.83</v>
      </c>
      <c r="F8" s="184">
        <f>'Data Sheet Relative Valuation'!G4</f>
        <v>282690.90000000002</v>
      </c>
      <c r="G8" s="184">
        <f>'Data Sheet Relative Valuation'!H4</f>
        <v>444.16</v>
      </c>
      <c r="H8" s="184">
        <f>'Data Sheet Relative Valuation'!J4</f>
        <v>281794.19</v>
      </c>
      <c r="I8" s="185"/>
      <c r="J8" s="185"/>
      <c r="K8" s="184">
        <f>'Data Sheet Relative Valuation'!L4</f>
        <v>23154.6</v>
      </c>
      <c r="L8" s="184">
        <f>'Data Sheet Relative Valuation'!M4</f>
        <v>5346.41</v>
      </c>
      <c r="M8" s="184">
        <f>'Data Sheet Relative Valuation'!N4</f>
        <v>3544.6</v>
      </c>
      <c r="N8" s="186"/>
      <c r="O8" s="187">
        <f t="shared" ref="O8:O12" si="1">H8/K8</f>
        <v>12.170116953002861</v>
      </c>
      <c r="P8" s="187">
        <f t="shared" si="0"/>
        <v>52.707179209974548</v>
      </c>
      <c r="Q8" s="187">
        <f t="shared" ref="Q8:Q12" si="2">F8/M8</f>
        <v>79.752553179484295</v>
      </c>
    </row>
    <row r="9" spans="2:17" x14ac:dyDescent="0.3">
      <c r="B9" s="183" t="s">
        <v>316</v>
      </c>
      <c r="C9" s="183" t="str">
        <f>'Data Sheet Relative Valuation'!D5</f>
        <v>MARICO</v>
      </c>
      <c r="D9" s="184">
        <f>'Data Sheet Relative Valuation'!E5</f>
        <v>838.35</v>
      </c>
      <c r="E9" s="185">
        <f>'Data Sheet Relative Valuation'!F5</f>
        <v>129.81</v>
      </c>
      <c r="F9" s="184">
        <f>'Data Sheet Relative Valuation'!G5</f>
        <v>108830.28</v>
      </c>
      <c r="G9" s="184">
        <f>'Data Sheet Relative Valuation'!H5</f>
        <v>557</v>
      </c>
      <c r="H9" s="184">
        <f>'Data Sheet Relative Valuation'!J5</f>
        <v>108894.28</v>
      </c>
      <c r="I9" s="185"/>
      <c r="J9" s="185"/>
      <c r="K9" s="184">
        <f>'Data Sheet Relative Valuation'!L5</f>
        <v>13611</v>
      </c>
      <c r="L9" s="184">
        <f>'Data Sheet Relative Valuation'!M5</f>
        <v>2532</v>
      </c>
      <c r="M9" s="184">
        <f>'Data Sheet Relative Valuation'!N5</f>
        <v>1813</v>
      </c>
      <c r="N9" s="186"/>
      <c r="O9" s="187">
        <f t="shared" si="1"/>
        <v>8.0004613915215632</v>
      </c>
      <c r="P9" s="187">
        <f t="shared" si="0"/>
        <v>43.007219589257502</v>
      </c>
      <c r="Q9" s="187">
        <f t="shared" si="2"/>
        <v>60.02773303916161</v>
      </c>
    </row>
    <row r="10" spans="2:17" x14ac:dyDescent="0.3">
      <c r="B10" s="183" t="s">
        <v>508</v>
      </c>
      <c r="C10" s="183" t="str">
        <f>'Data Sheet Relative Valuation'!D6</f>
        <v>GODREJCP</v>
      </c>
      <c r="D10" s="184">
        <f>'Data Sheet Relative Valuation'!E6</f>
        <v>1023.45</v>
      </c>
      <c r="E10" s="185">
        <f>'Data Sheet Relative Valuation'!F6</f>
        <v>102.32</v>
      </c>
      <c r="F10" s="184">
        <f>'Data Sheet Relative Valuation'!G6</f>
        <v>104723.99</v>
      </c>
      <c r="G10" s="184">
        <f>'Data Sheet Relative Valuation'!H6</f>
        <v>4415.8100000000004</v>
      </c>
      <c r="H10" s="184">
        <f>'Data Sheet Relative Valuation'!J6</f>
        <v>108134.39</v>
      </c>
      <c r="I10" s="185"/>
      <c r="J10" s="185"/>
      <c r="K10" s="184">
        <f>'Data Sheet Relative Valuation'!L6</f>
        <v>15177.9</v>
      </c>
      <c r="L10" s="184">
        <f>'Data Sheet Relative Valuation'!M6</f>
        <v>3422.41</v>
      </c>
      <c r="M10" s="184">
        <f>'Data Sheet Relative Valuation'!N6</f>
        <v>1861.47</v>
      </c>
      <c r="N10" s="186"/>
      <c r="O10" s="187">
        <f t="shared" si="1"/>
        <v>7.1244631997838965</v>
      </c>
      <c r="P10" s="187">
        <f t="shared" si="0"/>
        <v>31.595977688237237</v>
      </c>
      <c r="Q10" s="187">
        <f t="shared" si="2"/>
        <v>56.258757863409031</v>
      </c>
    </row>
    <row r="11" spans="2:17" x14ac:dyDescent="0.3">
      <c r="B11" s="183" t="s">
        <v>319</v>
      </c>
      <c r="C11" s="183" t="str">
        <f>'Data Sheet Relative Valuation'!D7</f>
        <v>DABUR</v>
      </c>
      <c r="D11" s="184">
        <f>'Data Sheet Relative Valuation'!E7</f>
        <v>460.15</v>
      </c>
      <c r="E11" s="185">
        <f>'Data Sheet Relative Valuation'!F7</f>
        <v>177.37</v>
      </c>
      <c r="F11" s="184">
        <f>'Data Sheet Relative Valuation'!G7</f>
        <v>81616.350000000006</v>
      </c>
      <c r="G11" s="184">
        <f>'Data Sheet Relative Valuation'!H7</f>
        <v>1287.32</v>
      </c>
      <c r="H11" s="184">
        <f>'Data Sheet Relative Valuation'!J7</f>
        <v>82341.600000000006</v>
      </c>
      <c r="I11" s="185"/>
      <c r="J11" s="185"/>
      <c r="K11" s="184">
        <f>'Data Sheet Relative Valuation'!L7</f>
        <v>13192.57</v>
      </c>
      <c r="L11" s="184">
        <f>'Data Sheet Relative Valuation'!M7</f>
        <v>3049.81</v>
      </c>
      <c r="M11" s="184">
        <f>'Data Sheet Relative Valuation'!N7</f>
        <v>1868.69</v>
      </c>
      <c r="N11" s="186"/>
      <c r="O11" s="187">
        <f t="shared" si="1"/>
        <v>6.2415132153932102</v>
      </c>
      <c r="P11" s="187">
        <f t="shared" si="0"/>
        <v>26.998927802059804</v>
      </c>
      <c r="Q11" s="187">
        <f t="shared" si="2"/>
        <v>43.675703300172849</v>
      </c>
    </row>
    <row r="12" spans="2:17" x14ac:dyDescent="0.3">
      <c r="B12" s="183" t="s">
        <v>317</v>
      </c>
      <c r="C12" s="183" t="str">
        <f>'Data Sheet Relative Valuation'!D8</f>
        <v>EMAMILTD</v>
      </c>
      <c r="D12" s="184">
        <f>'Data Sheet Relative Valuation'!E8</f>
        <v>426.85</v>
      </c>
      <c r="E12" s="185">
        <f>'Data Sheet Relative Valuation'!F8</f>
        <v>43.65</v>
      </c>
      <c r="F12" s="184">
        <f>'Data Sheet Relative Valuation'!G8</f>
        <v>18632.009999999998</v>
      </c>
      <c r="G12" s="184">
        <f>'Data Sheet Relative Valuation'!H8</f>
        <v>71.959999999999994</v>
      </c>
      <c r="H12" s="184">
        <f>'Data Sheet Relative Valuation'!J8</f>
        <v>18431.069999999996</v>
      </c>
      <c r="I12" s="185"/>
      <c r="J12" s="185"/>
      <c r="K12" s="184">
        <f>'Data Sheet Relative Valuation'!L8</f>
        <v>3817.46</v>
      </c>
      <c r="L12" s="184">
        <f>'Data Sheet Relative Valuation'!M8</f>
        <v>1043.04</v>
      </c>
      <c r="M12" s="184">
        <f>'Data Sheet Relative Valuation'!N8</f>
        <v>802.75</v>
      </c>
      <c r="N12" s="186"/>
      <c r="O12" s="187">
        <f t="shared" si="1"/>
        <v>4.8280977403823471</v>
      </c>
      <c r="P12" s="187">
        <f t="shared" si="0"/>
        <v>17.670530372756556</v>
      </c>
      <c r="Q12" s="187">
        <f t="shared" si="2"/>
        <v>23.210227343506695</v>
      </c>
    </row>
    <row r="14" spans="2:17" x14ac:dyDescent="0.3">
      <c r="B14" s="127" t="s">
        <v>326</v>
      </c>
      <c r="C14" s="127"/>
      <c r="D14" s="127"/>
      <c r="E14" s="127"/>
      <c r="F14" s="127"/>
      <c r="G14" s="127"/>
      <c r="H14" s="127"/>
      <c r="I14" s="127"/>
      <c r="J14" s="127"/>
      <c r="K14" s="127"/>
      <c r="L14" s="127"/>
      <c r="M14" s="127"/>
      <c r="N14" s="127"/>
      <c r="O14" s="188">
        <f>MAX(O7:O12)</f>
        <v>12.170116953002861</v>
      </c>
      <c r="P14" s="188">
        <f>MAX(P7:P12)</f>
        <v>52.707179209974548</v>
      </c>
      <c r="Q14" s="188">
        <f>MAX(Q7:Q12)</f>
        <v>79.752553179484295</v>
      </c>
    </row>
    <row r="15" spans="2:17" ht="16.2" x14ac:dyDescent="0.3">
      <c r="B15" s="127" t="s">
        <v>488</v>
      </c>
      <c r="C15" s="127"/>
      <c r="D15" s="127"/>
      <c r="E15" s="127"/>
      <c r="F15" s="127"/>
      <c r="G15" s="127"/>
      <c r="H15" s="127"/>
      <c r="I15" s="127"/>
      <c r="J15" s="127"/>
      <c r="K15" s="127"/>
      <c r="L15" s="127"/>
      <c r="M15" s="127"/>
      <c r="N15" s="127"/>
      <c r="O15" s="127">
        <f>QUARTILE(O7:O12,3)</f>
        <v>8.1469825145367167</v>
      </c>
      <c r="P15" s="127">
        <f>QUARTILE(P7:P12,3)</f>
        <v>40.620967415185689</v>
      </c>
      <c r="Q15" s="127">
        <f>QUARTILE(Q7:Q12,3)</f>
        <v>59.085489245223464</v>
      </c>
    </row>
    <row r="16" spans="2:17" x14ac:dyDescent="0.3">
      <c r="B16" s="189" t="s">
        <v>207</v>
      </c>
      <c r="C16" s="189"/>
      <c r="D16" s="189"/>
      <c r="E16" s="189"/>
      <c r="F16" s="189"/>
      <c r="G16" s="189"/>
      <c r="H16" s="189"/>
      <c r="I16" s="189"/>
      <c r="J16" s="189"/>
      <c r="K16" s="189"/>
      <c r="L16" s="189"/>
      <c r="M16" s="189"/>
      <c r="N16" s="189"/>
      <c r="O16" s="190">
        <f>AVERAGE(O7:O12)</f>
        <v>7.7600792314931626</v>
      </c>
      <c r="P16" s="190">
        <f>AVERAGE(P7:P12)</f>
        <v>34.240340925875984</v>
      </c>
      <c r="Q16" s="190">
        <f>AVERAGE(Q7:Q12)</f>
        <v>49.688176554384263</v>
      </c>
    </row>
    <row r="17" spans="2:17" x14ac:dyDescent="0.3">
      <c r="B17" s="189" t="s">
        <v>162</v>
      </c>
      <c r="C17" s="189"/>
      <c r="D17" s="189"/>
      <c r="E17" s="189"/>
      <c r="F17" s="189"/>
      <c r="G17" s="189"/>
      <c r="H17" s="189"/>
      <c r="I17" s="189"/>
      <c r="J17" s="189"/>
      <c r="K17" s="189"/>
      <c r="L17" s="189"/>
      <c r="M17" s="189"/>
      <c r="N17" s="189"/>
      <c r="O17" s="190">
        <f>MEDIAN(O7:O12)</f>
        <v>7.5624622956527299</v>
      </c>
      <c r="P17" s="190">
        <f>MEDIAN(P7:P12)</f>
        <v>32.529094290603737</v>
      </c>
      <c r="Q17" s="190">
        <f>MEDIAN(Q7:Q12)</f>
        <v>49.967230581790943</v>
      </c>
    </row>
    <row r="18" spans="2:17" ht="16.2" x14ac:dyDescent="0.3">
      <c r="B18" s="127" t="s">
        <v>489</v>
      </c>
      <c r="C18" s="127"/>
      <c r="D18" s="127"/>
      <c r="E18" s="127"/>
      <c r="F18" s="127"/>
      <c r="G18" s="127"/>
      <c r="H18" s="127"/>
      <c r="I18" s="127"/>
      <c r="J18" s="127"/>
      <c r="K18" s="127"/>
      <c r="L18" s="127"/>
      <c r="M18" s="127"/>
      <c r="N18" s="127"/>
      <c r="O18" s="127">
        <f>QUARTILE(O7:O12,1)</f>
        <v>6.4622507114908814</v>
      </c>
      <c r="P18" s="127">
        <f>QUARTILE(P7:P12,1)</f>
        <v>28.148190273604161</v>
      </c>
      <c r="Q18" s="127">
        <f>QUARTILE(Q7:Q12,1)</f>
        <v>37.32198927547153</v>
      </c>
    </row>
    <row r="19" spans="2:17" x14ac:dyDescent="0.3">
      <c r="B19" s="127" t="s">
        <v>327</v>
      </c>
      <c r="C19" s="127"/>
      <c r="D19" s="127"/>
      <c r="E19" s="127"/>
      <c r="F19" s="127"/>
      <c r="G19" s="127"/>
      <c r="H19" s="127"/>
      <c r="I19" s="127"/>
      <c r="J19" s="127"/>
      <c r="K19" s="127"/>
      <c r="L19" s="127"/>
      <c r="M19" s="127"/>
      <c r="N19" s="127"/>
      <c r="O19" s="188">
        <f>MIN(O7:O12)</f>
        <v>4.8280977403823471</v>
      </c>
      <c r="P19" s="188">
        <f>MIN(P7:P12)</f>
        <v>17.670530372756556</v>
      </c>
      <c r="Q19" s="188">
        <f>MIN(Q7:Q12)</f>
        <v>23.210227343506695</v>
      </c>
    </row>
    <row r="21" spans="2:17" x14ac:dyDescent="0.3">
      <c r="B21" s="40" t="s">
        <v>509</v>
      </c>
      <c r="C21" s="40"/>
      <c r="D21" s="40"/>
      <c r="E21" s="40"/>
      <c r="F21" s="40"/>
      <c r="G21" s="40"/>
      <c r="H21" s="40"/>
      <c r="I21" s="40"/>
      <c r="J21" s="40"/>
      <c r="K21" s="40"/>
      <c r="L21" s="40"/>
      <c r="M21" s="40"/>
      <c r="N21" s="40"/>
      <c r="O21" s="40" t="s">
        <v>485</v>
      </c>
      <c r="P21" s="40" t="s">
        <v>486</v>
      </c>
      <c r="Q21" s="40" t="s">
        <v>487</v>
      </c>
    </row>
    <row r="23" spans="2:17" x14ac:dyDescent="0.3">
      <c r="B23" s="186" t="s">
        <v>490</v>
      </c>
      <c r="C23" s="186"/>
      <c r="D23" s="186"/>
      <c r="E23" s="186"/>
      <c r="F23" s="186"/>
      <c r="G23" s="186"/>
      <c r="H23" s="186"/>
      <c r="I23" s="186"/>
      <c r="J23" s="186"/>
      <c r="K23" s="186"/>
      <c r="L23" s="186"/>
      <c r="M23" s="186"/>
      <c r="N23" s="186"/>
      <c r="O23" s="184">
        <f>O17*K7</f>
        <v>487536.81927614019</v>
      </c>
      <c r="P23" s="184">
        <f>P17*L7</f>
        <v>513634.39884863299</v>
      </c>
      <c r="Q23" s="184">
        <f>Q24+Q25</f>
        <v>754577.73533118982</v>
      </c>
    </row>
    <row r="24" spans="2:17" x14ac:dyDescent="0.3">
      <c r="B24" s="186" t="s">
        <v>481</v>
      </c>
      <c r="C24" s="186"/>
      <c r="D24" s="186"/>
      <c r="E24" s="186"/>
      <c r="F24" s="186"/>
      <c r="G24" s="186"/>
      <c r="H24" s="186"/>
      <c r="I24" s="186"/>
      <c r="J24" s="186"/>
      <c r="K24" s="186"/>
      <c r="L24" s="186"/>
      <c r="M24" s="186"/>
      <c r="N24" s="186"/>
      <c r="O24" s="184">
        <v>2121.21</v>
      </c>
      <c r="P24" s="184">
        <v>2121.21</v>
      </c>
      <c r="Q24" s="184">
        <v>2121.21</v>
      </c>
    </row>
    <row r="25" spans="2:17" x14ac:dyDescent="0.3">
      <c r="B25" s="186" t="s">
        <v>491</v>
      </c>
      <c r="C25" s="186"/>
      <c r="D25" s="186"/>
      <c r="E25" s="186"/>
      <c r="F25" s="186"/>
      <c r="G25" s="186"/>
      <c r="H25" s="186"/>
      <c r="I25" s="186"/>
      <c r="J25" s="186"/>
      <c r="K25" s="186"/>
      <c r="L25" s="186"/>
      <c r="M25" s="186"/>
      <c r="N25" s="186"/>
      <c r="O25" s="184">
        <f>O23-O24</f>
        <v>485415.60927614017</v>
      </c>
      <c r="P25" s="184">
        <f>P23-P24</f>
        <v>511513.18884863297</v>
      </c>
      <c r="Q25" s="184">
        <f>Q17*M7</f>
        <v>752456.52533118986</v>
      </c>
    </row>
    <row r="26" spans="2:17" x14ac:dyDescent="0.3">
      <c r="B26" s="191" t="s">
        <v>479</v>
      </c>
      <c r="C26" s="191"/>
      <c r="D26" s="191"/>
      <c r="E26" s="191"/>
      <c r="F26" s="191"/>
      <c r="G26" s="191"/>
      <c r="H26" s="191"/>
      <c r="I26" s="191"/>
      <c r="J26" s="191"/>
      <c r="K26" s="191"/>
      <c r="L26" s="191"/>
      <c r="M26" s="191"/>
      <c r="N26" s="191"/>
      <c r="O26" s="192">
        <f>E7</f>
        <v>234.96</v>
      </c>
      <c r="P26" s="191">
        <v>65.22</v>
      </c>
      <c r="Q26" s="191">
        <v>65.22</v>
      </c>
    </row>
    <row r="27" spans="2:17" ht="15" thickBot="1" x14ac:dyDescent="0.35">
      <c r="B27" s="193" t="s">
        <v>492</v>
      </c>
      <c r="C27" s="193"/>
      <c r="D27" s="193"/>
      <c r="E27" s="193"/>
      <c r="F27" s="193"/>
      <c r="G27" s="193"/>
      <c r="H27" s="193"/>
      <c r="I27" s="193"/>
      <c r="J27" s="193"/>
      <c r="K27" s="193"/>
      <c r="L27" s="193"/>
      <c r="M27" s="193"/>
      <c r="N27" s="193"/>
      <c r="O27" s="194">
        <f>O25/O26</f>
        <v>2065.9499884071338</v>
      </c>
      <c r="P27" s="194">
        <f>P25/P26</f>
        <v>7842.8885134718339</v>
      </c>
      <c r="Q27" s="194">
        <f>Q25/Q26</f>
        <v>11537.205233535569</v>
      </c>
    </row>
    <row r="29" spans="2:17" x14ac:dyDescent="0.3">
      <c r="B29" s="195" t="s">
        <v>493</v>
      </c>
    </row>
    <row r="335" spans="2:2" x14ac:dyDescent="0.3">
      <c r="B335" s="150">
        <v>46146</v>
      </c>
    </row>
  </sheetData>
  <mergeCells count="3">
    <mergeCell ref="D4:H4"/>
    <mergeCell ref="K4:M4"/>
    <mergeCell ref="O4:Q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64D9-5F94-42C0-A3E1-49875A108C62}">
  <sheetPr>
    <tabColor theme="8" tint="-0.499984740745262"/>
  </sheetPr>
  <dimension ref="B335"/>
  <sheetViews>
    <sheetView workbookViewId="0">
      <selection activeCell="G24" sqref="F24:G29"/>
    </sheetView>
  </sheetViews>
  <sheetFormatPr defaultRowHeight="14.4" x14ac:dyDescent="0.3"/>
  <sheetData>
    <row r="335" spans="2:2" x14ac:dyDescent="0.3">
      <c r="B335" s="150">
        <v>46146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J335"/>
  <sheetViews>
    <sheetView zoomScale="85" zoomScaleNormal="85" zoomScalePageLayoutView="120" workbookViewId="0">
      <pane xSplit="1" ySplit="1" topLeftCell="B2" activePane="bottomRight" state="frozen"/>
      <selection activeCell="G24" sqref="F24:G29"/>
      <selection pane="topRight" activeCell="G24" sqref="F24:G29"/>
      <selection pane="bottomLeft" activeCell="G24" sqref="F24:G29"/>
      <selection pane="bottomRight" activeCell="K3" sqref="K1:K1048576"/>
    </sheetView>
  </sheetViews>
  <sheetFormatPr defaultColWidth="8.77734375" defaultRowHeight="14.4" x14ac:dyDescent="0.3"/>
  <cols>
    <col min="1" max="1" width="27.6640625" style="3" bestFit="1" customWidth="1"/>
    <col min="2" max="10" width="13.44140625" style="3" bestFit="1" customWidth="1"/>
    <col min="11" max="16384" width="8.77734375" style="3"/>
  </cols>
  <sheetData>
    <row r="1" spans="1:10" s="1" customFormat="1" x14ac:dyDescent="0.3">
      <c r="A1" s="1" t="s">
        <v>0</v>
      </c>
      <c r="B1" s="1" t="s">
        <v>33</v>
      </c>
      <c r="E1" s="202" t="str">
        <f>IF(B2&lt;&gt;B3, "A NEW VERSION OF THE WORKSHEET IS AVAILABLE", "")</f>
        <v/>
      </c>
      <c r="F1" s="202"/>
      <c r="G1" s="202"/>
      <c r="H1" s="202"/>
      <c r="I1" s="202"/>
      <c r="J1" s="202"/>
    </row>
    <row r="2" spans="1:10" x14ac:dyDescent="0.3">
      <c r="A2" s="1" t="s">
        <v>31</v>
      </c>
      <c r="B2" s="3">
        <v>2.1</v>
      </c>
      <c r="E2" s="203" t="s">
        <v>22</v>
      </c>
      <c r="F2" s="203"/>
      <c r="G2" s="203"/>
      <c r="H2" s="203"/>
      <c r="I2" s="203"/>
      <c r="J2" s="203"/>
    </row>
    <row r="3" spans="1:10" x14ac:dyDescent="0.3">
      <c r="A3" s="1" t="s">
        <v>32</v>
      </c>
      <c r="B3" s="3">
        <v>2.1</v>
      </c>
    </row>
    <row r="4" spans="1:10" x14ac:dyDescent="0.3">
      <c r="A4" s="1"/>
    </row>
    <row r="5" spans="1:10" x14ac:dyDescent="0.3">
      <c r="A5" s="1" t="s">
        <v>34</v>
      </c>
    </row>
    <row r="6" spans="1:10" x14ac:dyDescent="0.3">
      <c r="A6" s="3" t="s">
        <v>28</v>
      </c>
      <c r="B6" s="3">
        <f>IF(B9&gt;0, B9/B8, 0)</f>
        <v>234.94894341290893</v>
      </c>
    </row>
    <row r="7" spans="1:10" x14ac:dyDescent="0.3">
      <c r="A7" s="3" t="s">
        <v>17</v>
      </c>
      <c r="B7">
        <v>1</v>
      </c>
    </row>
    <row r="8" spans="1:10" x14ac:dyDescent="0.3">
      <c r="A8" s="3" t="s">
        <v>29</v>
      </c>
      <c r="B8">
        <v>2262</v>
      </c>
    </row>
    <row r="9" spans="1:10" x14ac:dyDescent="0.3">
      <c r="A9" s="3" t="s">
        <v>44</v>
      </c>
      <c r="B9">
        <v>531454.51</v>
      </c>
    </row>
    <row r="15" spans="1:10" x14ac:dyDescent="0.3">
      <c r="A15" s="1" t="s">
        <v>23</v>
      </c>
    </row>
    <row r="16" spans="1:10" s="7" customFormat="1" x14ac:dyDescent="0.3">
      <c r="A16" s="6" t="s">
        <v>24</v>
      </c>
      <c r="B16" s="5">
        <v>42825</v>
      </c>
      <c r="C16" s="5">
        <v>43190</v>
      </c>
      <c r="D16" s="5">
        <v>43555</v>
      </c>
      <c r="E16" s="5">
        <v>43921</v>
      </c>
      <c r="F16" s="5">
        <v>44286</v>
      </c>
      <c r="G16" s="5">
        <v>44651</v>
      </c>
      <c r="H16" s="5">
        <v>45016</v>
      </c>
      <c r="I16" s="5">
        <v>45382</v>
      </c>
      <c r="J16" s="5">
        <v>45747</v>
      </c>
    </row>
    <row r="17" spans="1:10" s="4" customFormat="1" x14ac:dyDescent="0.3">
      <c r="A17" s="4" t="s">
        <v>1</v>
      </c>
      <c r="B17">
        <v>33162</v>
      </c>
      <c r="C17">
        <v>35545</v>
      </c>
      <c r="D17">
        <v>39310</v>
      </c>
      <c r="E17">
        <v>39783</v>
      </c>
      <c r="F17">
        <v>47028</v>
      </c>
      <c r="G17">
        <v>52446</v>
      </c>
      <c r="H17">
        <v>60580</v>
      </c>
      <c r="I17">
        <v>61896</v>
      </c>
      <c r="J17">
        <v>63121</v>
      </c>
    </row>
    <row r="18" spans="1:10" s="4" customFormat="1" x14ac:dyDescent="0.3">
      <c r="A18" s="3" t="s">
        <v>45</v>
      </c>
      <c r="B18">
        <v>13606</v>
      </c>
      <c r="C18">
        <v>14233</v>
      </c>
      <c r="D18">
        <v>15845</v>
      </c>
      <c r="E18">
        <v>15697</v>
      </c>
      <c r="F18">
        <v>20141</v>
      </c>
      <c r="G18">
        <v>22871</v>
      </c>
      <c r="H18">
        <v>28427</v>
      </c>
      <c r="I18">
        <v>26822</v>
      </c>
      <c r="J18">
        <v>27344</v>
      </c>
    </row>
    <row r="19" spans="1:10" s="4" customFormat="1" x14ac:dyDescent="0.3">
      <c r="A19" s="3" t="s">
        <v>46</v>
      </c>
      <c r="B19">
        <v>-144</v>
      </c>
      <c r="C19">
        <v>72</v>
      </c>
      <c r="D19">
        <v>-12</v>
      </c>
      <c r="E19">
        <v>108</v>
      </c>
      <c r="F19">
        <v>405</v>
      </c>
      <c r="G19">
        <v>22</v>
      </c>
      <c r="H19">
        <v>75</v>
      </c>
      <c r="I19">
        <v>11</v>
      </c>
      <c r="J19">
        <v>153</v>
      </c>
    </row>
    <row r="20" spans="1:10" s="4" customFormat="1" x14ac:dyDescent="0.3">
      <c r="A20" s="3" t="s">
        <v>47</v>
      </c>
      <c r="B20">
        <v>295</v>
      </c>
      <c r="C20">
        <v>295</v>
      </c>
      <c r="D20">
        <v>308</v>
      </c>
      <c r="E20">
        <v>299</v>
      </c>
      <c r="F20">
        <v>339</v>
      </c>
      <c r="G20">
        <v>318</v>
      </c>
      <c r="H20">
        <v>384</v>
      </c>
      <c r="I20">
        <v>446</v>
      </c>
      <c r="J20">
        <v>427</v>
      </c>
    </row>
    <row r="21" spans="1:10" s="4" customFormat="1" x14ac:dyDescent="0.3">
      <c r="A21" s="3" t="s">
        <v>48</v>
      </c>
      <c r="B21">
        <v>2887</v>
      </c>
      <c r="C21">
        <v>2998</v>
      </c>
      <c r="D21">
        <v>3041</v>
      </c>
      <c r="E21">
        <v>2906</v>
      </c>
      <c r="F21">
        <v>2868</v>
      </c>
      <c r="G21">
        <v>3354</v>
      </c>
      <c r="H21">
        <v>3791</v>
      </c>
      <c r="I21">
        <v>3385</v>
      </c>
      <c r="J21">
        <v>3834</v>
      </c>
    </row>
    <row r="22" spans="1:10" s="4" customFormat="1" x14ac:dyDescent="0.3">
      <c r="A22" s="3" t="s">
        <v>49</v>
      </c>
      <c r="B22">
        <v>1743</v>
      </c>
      <c r="C22">
        <v>1860</v>
      </c>
      <c r="D22">
        <v>1875</v>
      </c>
      <c r="E22">
        <v>1820</v>
      </c>
      <c r="F22">
        <v>2358</v>
      </c>
      <c r="G22">
        <v>2545</v>
      </c>
      <c r="H22">
        <v>2854</v>
      </c>
      <c r="I22">
        <v>3009</v>
      </c>
      <c r="J22">
        <v>3077</v>
      </c>
    </row>
    <row r="23" spans="1:10" s="4" customFormat="1" x14ac:dyDescent="0.3">
      <c r="A23" s="3" t="s">
        <v>50</v>
      </c>
      <c r="B23">
        <v>6689</v>
      </c>
      <c r="C23">
        <v>7252</v>
      </c>
      <c r="D23">
        <v>7796</v>
      </c>
      <c r="E23">
        <v>7620</v>
      </c>
      <c r="F23">
        <v>7906</v>
      </c>
      <c r="G23">
        <v>8164</v>
      </c>
      <c r="H23">
        <v>8785</v>
      </c>
      <c r="I23">
        <v>10780</v>
      </c>
      <c r="J23">
        <v>10693</v>
      </c>
    </row>
    <row r="24" spans="1:10" s="4" customFormat="1" x14ac:dyDescent="0.3">
      <c r="A24" s="3" t="s">
        <v>51</v>
      </c>
      <c r="B24">
        <v>1470</v>
      </c>
      <c r="C24">
        <v>1480</v>
      </c>
      <c r="D24">
        <v>1553</v>
      </c>
      <c r="E24">
        <v>1688</v>
      </c>
      <c r="F24">
        <v>2195</v>
      </c>
      <c r="G24">
        <v>2359</v>
      </c>
      <c r="H24">
        <v>2267</v>
      </c>
      <c r="I24">
        <v>2806</v>
      </c>
      <c r="J24">
        <v>3056</v>
      </c>
    </row>
    <row r="25" spans="1:10" s="4" customFormat="1" x14ac:dyDescent="0.3">
      <c r="A25" s="4" t="s">
        <v>4</v>
      </c>
      <c r="B25">
        <v>606</v>
      </c>
      <c r="C25">
        <v>353</v>
      </c>
      <c r="D25">
        <v>322</v>
      </c>
      <c r="E25">
        <v>424</v>
      </c>
      <c r="F25">
        <v>170</v>
      </c>
      <c r="G25">
        <v>219</v>
      </c>
      <c r="H25">
        <v>448</v>
      </c>
      <c r="I25">
        <v>817</v>
      </c>
      <c r="J25">
        <v>1322</v>
      </c>
    </row>
    <row r="26" spans="1:10" s="4" customFormat="1" x14ac:dyDescent="0.3">
      <c r="A26" s="4" t="s">
        <v>5</v>
      </c>
      <c r="B26">
        <v>432</v>
      </c>
      <c r="C26">
        <v>520</v>
      </c>
      <c r="D26">
        <v>565</v>
      </c>
      <c r="E26">
        <v>1002</v>
      </c>
      <c r="F26">
        <v>1074</v>
      </c>
      <c r="G26">
        <v>1091</v>
      </c>
      <c r="H26">
        <v>1137</v>
      </c>
      <c r="I26">
        <v>1216</v>
      </c>
      <c r="J26">
        <v>1355</v>
      </c>
    </row>
    <row r="27" spans="1:10" s="4" customFormat="1" x14ac:dyDescent="0.3">
      <c r="A27" s="4" t="s">
        <v>6</v>
      </c>
      <c r="B27">
        <v>35</v>
      </c>
      <c r="C27">
        <v>26</v>
      </c>
      <c r="D27">
        <v>33</v>
      </c>
      <c r="E27">
        <v>118</v>
      </c>
      <c r="F27">
        <v>117</v>
      </c>
      <c r="G27">
        <v>106</v>
      </c>
      <c r="H27">
        <v>114</v>
      </c>
      <c r="I27">
        <v>334</v>
      </c>
      <c r="J27">
        <v>395</v>
      </c>
    </row>
    <row r="28" spans="1:10" s="4" customFormat="1" x14ac:dyDescent="0.3">
      <c r="A28" s="4" t="s">
        <v>7</v>
      </c>
      <c r="B28">
        <v>6467</v>
      </c>
      <c r="C28">
        <v>7306</v>
      </c>
      <c r="D28">
        <v>8604</v>
      </c>
      <c r="E28">
        <v>9165</v>
      </c>
      <c r="F28">
        <v>10605</v>
      </c>
      <c r="G28">
        <v>11879</v>
      </c>
      <c r="H28">
        <v>13344</v>
      </c>
      <c r="I28">
        <v>13926</v>
      </c>
      <c r="J28">
        <v>14415</v>
      </c>
    </row>
    <row r="29" spans="1:10" s="4" customFormat="1" x14ac:dyDescent="0.3">
      <c r="A29" s="4" t="s">
        <v>8</v>
      </c>
      <c r="B29">
        <v>1977</v>
      </c>
      <c r="C29">
        <v>2079</v>
      </c>
      <c r="D29">
        <v>2544</v>
      </c>
      <c r="E29">
        <v>2409</v>
      </c>
      <c r="F29">
        <v>2606</v>
      </c>
      <c r="G29">
        <v>2987</v>
      </c>
      <c r="H29">
        <v>3201</v>
      </c>
      <c r="I29">
        <v>3644</v>
      </c>
      <c r="J29">
        <v>3744</v>
      </c>
    </row>
    <row r="30" spans="1:10" s="4" customFormat="1" x14ac:dyDescent="0.3">
      <c r="A30" s="4" t="s">
        <v>9</v>
      </c>
      <c r="B30">
        <v>4476</v>
      </c>
      <c r="C30">
        <v>5214</v>
      </c>
      <c r="D30">
        <v>6054</v>
      </c>
      <c r="E30">
        <v>6748</v>
      </c>
      <c r="F30">
        <v>7995</v>
      </c>
      <c r="G30">
        <v>8879</v>
      </c>
      <c r="H30">
        <v>10120</v>
      </c>
      <c r="I30">
        <v>10277</v>
      </c>
      <c r="J30">
        <v>10649</v>
      </c>
    </row>
    <row r="31" spans="1:10" s="4" customFormat="1" x14ac:dyDescent="0.3">
      <c r="A31" s="4" t="s">
        <v>35</v>
      </c>
      <c r="B31">
        <v>3672</v>
      </c>
      <c r="C31">
        <v>4320</v>
      </c>
      <c r="D31">
        <v>4752</v>
      </c>
      <c r="E31">
        <v>5400</v>
      </c>
      <c r="F31">
        <v>9517.5</v>
      </c>
      <c r="G31">
        <v>7990</v>
      </c>
      <c r="H31">
        <v>9165</v>
      </c>
      <c r="I31">
        <v>9870</v>
      </c>
      <c r="J31">
        <v>12455</v>
      </c>
    </row>
    <row r="32" spans="1:10" s="4" customFormat="1" x14ac:dyDescent="0.3"/>
    <row r="33" spans="1:10" x14ac:dyDescent="0.3">
      <c r="A33" s="4"/>
    </row>
    <row r="34" spans="1:10" x14ac:dyDescent="0.3">
      <c r="A34" s="4"/>
    </row>
    <row r="35" spans="1:10" x14ac:dyDescent="0.3">
      <c r="A35" s="4"/>
    </row>
    <row r="36" spans="1:10" x14ac:dyDescent="0.3">
      <c r="A36" s="4"/>
    </row>
    <row r="37" spans="1:10" x14ac:dyDescent="0.3">
      <c r="A37" s="4"/>
    </row>
    <row r="38" spans="1:10" x14ac:dyDescent="0.3">
      <c r="A38" s="4"/>
    </row>
    <row r="39" spans="1:10" x14ac:dyDescent="0.3">
      <c r="A39" s="4"/>
    </row>
    <row r="40" spans="1:10" x14ac:dyDescent="0.3">
      <c r="A40" s="1" t="s">
        <v>25</v>
      </c>
    </row>
    <row r="41" spans="1:10" s="7" customFormat="1" x14ac:dyDescent="0.3">
      <c r="A41" s="6" t="s">
        <v>24</v>
      </c>
      <c r="B41" s="5">
        <v>45291</v>
      </c>
      <c r="C41" s="5">
        <v>45382</v>
      </c>
      <c r="D41" s="5">
        <v>45473</v>
      </c>
      <c r="E41" s="5">
        <v>45565</v>
      </c>
      <c r="F41" s="5">
        <v>45657</v>
      </c>
      <c r="G41" s="5">
        <v>45747</v>
      </c>
      <c r="H41" s="5">
        <v>45838</v>
      </c>
      <c r="I41" s="5">
        <v>45930</v>
      </c>
      <c r="J41" s="5">
        <v>46022</v>
      </c>
    </row>
    <row r="42" spans="1:10" s="4" customFormat="1" x14ac:dyDescent="0.3">
      <c r="A42" s="4" t="s">
        <v>1</v>
      </c>
      <c r="B42">
        <v>15567</v>
      </c>
      <c r="C42">
        <v>15210</v>
      </c>
      <c r="D42">
        <v>15707</v>
      </c>
      <c r="E42">
        <v>15926</v>
      </c>
      <c r="F42">
        <v>15556</v>
      </c>
      <c r="G42">
        <v>15190</v>
      </c>
      <c r="H42">
        <v>16514</v>
      </c>
      <c r="I42">
        <v>15919</v>
      </c>
      <c r="J42">
        <v>16441</v>
      </c>
    </row>
    <row r="43" spans="1:10" s="4" customFormat="1" x14ac:dyDescent="0.3">
      <c r="A43" s="4" t="s">
        <v>2</v>
      </c>
      <c r="B43">
        <v>11902</v>
      </c>
      <c r="C43">
        <v>11675</v>
      </c>
      <c r="D43">
        <v>11965</v>
      </c>
      <c r="E43">
        <v>12139</v>
      </c>
      <c r="F43">
        <v>11867</v>
      </c>
      <c r="G43">
        <v>11572</v>
      </c>
      <c r="H43">
        <v>12797</v>
      </c>
      <c r="I43">
        <v>12137</v>
      </c>
      <c r="J43">
        <v>12660</v>
      </c>
    </row>
    <row r="44" spans="1:10" s="4" customFormat="1" x14ac:dyDescent="0.3">
      <c r="A44" s="4" t="s">
        <v>4</v>
      </c>
      <c r="B44">
        <v>184</v>
      </c>
      <c r="C44">
        <v>309</v>
      </c>
      <c r="D44">
        <v>209</v>
      </c>
      <c r="E44">
        <v>203</v>
      </c>
      <c r="F44">
        <v>733</v>
      </c>
      <c r="G44">
        <v>149</v>
      </c>
      <c r="H44">
        <v>74</v>
      </c>
      <c r="I44">
        <v>269</v>
      </c>
      <c r="J44">
        <v>4048</v>
      </c>
    </row>
    <row r="45" spans="1:10" s="4" customFormat="1" x14ac:dyDescent="0.3">
      <c r="A45" s="4" t="s">
        <v>5</v>
      </c>
      <c r="B45">
        <v>313</v>
      </c>
      <c r="C45">
        <v>320</v>
      </c>
      <c r="D45">
        <v>329</v>
      </c>
      <c r="E45">
        <v>338</v>
      </c>
      <c r="F45">
        <v>318</v>
      </c>
      <c r="G45">
        <v>318</v>
      </c>
      <c r="H45">
        <v>361</v>
      </c>
      <c r="I45">
        <v>322</v>
      </c>
      <c r="J45">
        <v>337</v>
      </c>
    </row>
    <row r="46" spans="1:10" s="4" customFormat="1" x14ac:dyDescent="0.3">
      <c r="A46" s="4" t="s">
        <v>6</v>
      </c>
      <c r="B46">
        <v>91</v>
      </c>
      <c r="C46">
        <v>105</v>
      </c>
      <c r="D46">
        <v>93</v>
      </c>
      <c r="E46">
        <v>110</v>
      </c>
      <c r="F46">
        <v>109</v>
      </c>
      <c r="G46">
        <v>77</v>
      </c>
      <c r="H46">
        <v>127</v>
      </c>
      <c r="I46">
        <v>124</v>
      </c>
      <c r="J46">
        <v>88</v>
      </c>
    </row>
    <row r="47" spans="1:10" s="4" customFormat="1" x14ac:dyDescent="0.3">
      <c r="A47" s="4" t="s">
        <v>7</v>
      </c>
      <c r="B47">
        <v>3445</v>
      </c>
      <c r="C47">
        <v>3419</v>
      </c>
      <c r="D47">
        <v>3529</v>
      </c>
      <c r="E47">
        <v>3542</v>
      </c>
      <c r="F47">
        <v>3995</v>
      </c>
      <c r="G47">
        <v>3372</v>
      </c>
      <c r="H47">
        <v>3303</v>
      </c>
      <c r="I47">
        <v>3605</v>
      </c>
      <c r="J47">
        <v>7404</v>
      </c>
    </row>
    <row r="48" spans="1:10" s="4" customFormat="1" x14ac:dyDescent="0.3">
      <c r="A48" s="4" t="s">
        <v>8</v>
      </c>
      <c r="B48">
        <v>937</v>
      </c>
      <c r="C48">
        <v>858</v>
      </c>
      <c r="D48">
        <v>917</v>
      </c>
      <c r="E48">
        <v>947</v>
      </c>
      <c r="F48">
        <v>1006</v>
      </c>
      <c r="G48">
        <v>897</v>
      </c>
      <c r="H48">
        <v>535</v>
      </c>
      <c r="I48">
        <v>911</v>
      </c>
      <c r="J48">
        <v>801</v>
      </c>
    </row>
    <row r="49" spans="1:10" s="4" customFormat="1" x14ac:dyDescent="0.3">
      <c r="A49" s="4" t="s">
        <v>9</v>
      </c>
      <c r="B49">
        <v>2509</v>
      </c>
      <c r="C49">
        <v>2558</v>
      </c>
      <c r="D49">
        <v>2610</v>
      </c>
      <c r="E49">
        <v>2591</v>
      </c>
      <c r="F49">
        <v>2984</v>
      </c>
      <c r="G49">
        <v>2464</v>
      </c>
      <c r="H49">
        <v>2756</v>
      </c>
      <c r="I49">
        <v>2685</v>
      </c>
      <c r="J49">
        <v>6607</v>
      </c>
    </row>
    <row r="50" spans="1:10" x14ac:dyDescent="0.3">
      <c r="A50" s="4" t="s">
        <v>3</v>
      </c>
      <c r="B50">
        <v>3665</v>
      </c>
      <c r="C50">
        <v>3535</v>
      </c>
      <c r="D50">
        <v>3742</v>
      </c>
      <c r="E50">
        <v>3787</v>
      </c>
      <c r="F50">
        <v>3689</v>
      </c>
      <c r="G50">
        <v>3618</v>
      </c>
      <c r="H50">
        <v>3717</v>
      </c>
      <c r="I50">
        <v>3782</v>
      </c>
      <c r="J50">
        <v>3781</v>
      </c>
    </row>
    <row r="51" spans="1:10" x14ac:dyDescent="0.3">
      <c r="A51" s="4"/>
    </row>
    <row r="52" spans="1:10" x14ac:dyDescent="0.3">
      <c r="A52" s="4"/>
    </row>
    <row r="53" spans="1:10" x14ac:dyDescent="0.3">
      <c r="A53" s="4"/>
    </row>
    <row r="54" spans="1:10" x14ac:dyDescent="0.3">
      <c r="A54" s="4"/>
    </row>
    <row r="55" spans="1:10" x14ac:dyDescent="0.3">
      <c r="A55" s="1" t="s">
        <v>26</v>
      </c>
    </row>
    <row r="56" spans="1:10" s="7" customFormat="1" x14ac:dyDescent="0.3">
      <c r="A56" s="6" t="s">
        <v>24</v>
      </c>
      <c r="B56" s="5">
        <v>42825</v>
      </c>
      <c r="C56" s="5">
        <v>43190</v>
      </c>
      <c r="D56" s="5">
        <v>43555</v>
      </c>
      <c r="E56" s="5">
        <v>43921</v>
      </c>
      <c r="F56" s="5">
        <v>44286</v>
      </c>
      <c r="G56" s="5">
        <v>44651</v>
      </c>
      <c r="H56" s="5">
        <v>45016</v>
      </c>
      <c r="I56" s="5">
        <v>45382</v>
      </c>
      <c r="J56" s="5">
        <v>45747</v>
      </c>
    </row>
    <row r="57" spans="1:10" x14ac:dyDescent="0.3">
      <c r="A57" s="4" t="s">
        <v>11</v>
      </c>
      <c r="B57">
        <v>216</v>
      </c>
      <c r="C57">
        <v>216</v>
      </c>
      <c r="D57">
        <v>216</v>
      </c>
      <c r="E57">
        <v>216</v>
      </c>
      <c r="F57">
        <v>235</v>
      </c>
      <c r="G57">
        <v>235</v>
      </c>
      <c r="H57">
        <v>235</v>
      </c>
      <c r="I57">
        <v>235</v>
      </c>
      <c r="J57">
        <v>235</v>
      </c>
    </row>
    <row r="58" spans="1:10" x14ac:dyDescent="0.3">
      <c r="A58" s="4" t="s">
        <v>12</v>
      </c>
      <c r="B58">
        <v>6528</v>
      </c>
      <c r="C58">
        <v>7065</v>
      </c>
      <c r="D58">
        <v>7651</v>
      </c>
      <c r="E58">
        <v>8013</v>
      </c>
      <c r="F58">
        <v>47439</v>
      </c>
      <c r="G58">
        <v>48826</v>
      </c>
      <c r="H58">
        <v>50069</v>
      </c>
      <c r="I58">
        <v>50983</v>
      </c>
      <c r="J58">
        <v>49167</v>
      </c>
    </row>
    <row r="59" spans="1:10" x14ac:dyDescent="0.3">
      <c r="A59" s="4" t="s">
        <v>36</v>
      </c>
      <c r="B59">
        <v>277</v>
      </c>
      <c r="C59"/>
      <c r="D59">
        <v>99</v>
      </c>
      <c r="E59"/>
      <c r="F59"/>
      <c r="G59">
        <v>1043</v>
      </c>
      <c r="H59">
        <v>1219</v>
      </c>
      <c r="I59">
        <v>1484</v>
      </c>
      <c r="J59">
        <v>1648</v>
      </c>
    </row>
    <row r="60" spans="1:10" x14ac:dyDescent="0.3">
      <c r="A60" s="4" t="s">
        <v>37</v>
      </c>
      <c r="B60">
        <v>8685</v>
      </c>
      <c r="C60">
        <v>10581</v>
      </c>
      <c r="D60">
        <v>10663</v>
      </c>
      <c r="E60">
        <v>11924</v>
      </c>
      <c r="F60">
        <v>21066</v>
      </c>
      <c r="G60">
        <v>20402</v>
      </c>
      <c r="H60">
        <v>21554</v>
      </c>
      <c r="I60">
        <v>25787</v>
      </c>
      <c r="J60">
        <v>28813</v>
      </c>
    </row>
    <row r="61" spans="1:10" s="1" customFormat="1" x14ac:dyDescent="0.3">
      <c r="A61" s="1" t="s">
        <v>13</v>
      </c>
      <c r="B61">
        <v>15706</v>
      </c>
      <c r="C61">
        <v>17862</v>
      </c>
      <c r="D61">
        <v>18629</v>
      </c>
      <c r="E61">
        <v>20153</v>
      </c>
      <c r="F61">
        <v>68740</v>
      </c>
      <c r="G61">
        <v>70506</v>
      </c>
      <c r="H61">
        <v>73077</v>
      </c>
      <c r="I61">
        <v>78489</v>
      </c>
      <c r="J61">
        <v>79863</v>
      </c>
    </row>
    <row r="62" spans="1:10" x14ac:dyDescent="0.3">
      <c r="A62" s="4" t="s">
        <v>14</v>
      </c>
      <c r="B62">
        <v>4419</v>
      </c>
      <c r="C62">
        <v>4528</v>
      </c>
      <c r="D62">
        <v>4715</v>
      </c>
      <c r="E62">
        <v>5479</v>
      </c>
      <c r="F62">
        <v>51443</v>
      </c>
      <c r="G62">
        <v>51473</v>
      </c>
      <c r="H62">
        <v>52678</v>
      </c>
      <c r="I62">
        <v>53744</v>
      </c>
      <c r="J62">
        <v>54335</v>
      </c>
    </row>
    <row r="63" spans="1:10" x14ac:dyDescent="0.3">
      <c r="A63" s="4" t="s">
        <v>15</v>
      </c>
      <c r="B63">
        <v>229</v>
      </c>
      <c r="C63">
        <v>461</v>
      </c>
      <c r="D63">
        <v>406</v>
      </c>
      <c r="E63">
        <v>597</v>
      </c>
      <c r="F63">
        <v>745</v>
      </c>
      <c r="G63">
        <v>1313</v>
      </c>
      <c r="H63">
        <v>1132</v>
      </c>
      <c r="I63">
        <v>1025</v>
      </c>
      <c r="J63">
        <v>1009</v>
      </c>
    </row>
    <row r="64" spans="1:10" x14ac:dyDescent="0.3">
      <c r="A64" s="4" t="s">
        <v>16</v>
      </c>
      <c r="B64">
        <v>3794</v>
      </c>
      <c r="C64">
        <v>2873</v>
      </c>
      <c r="D64">
        <v>2716</v>
      </c>
      <c r="E64">
        <v>1255</v>
      </c>
      <c r="F64">
        <v>2709</v>
      </c>
      <c r="G64">
        <v>3521</v>
      </c>
      <c r="H64">
        <v>2882</v>
      </c>
      <c r="I64">
        <v>4625</v>
      </c>
      <c r="J64">
        <v>3810</v>
      </c>
    </row>
    <row r="65" spans="1:10" x14ac:dyDescent="0.3">
      <c r="A65" s="4" t="s">
        <v>38</v>
      </c>
      <c r="B65">
        <v>7264</v>
      </c>
      <c r="C65">
        <v>10000</v>
      </c>
      <c r="D65">
        <v>10792</v>
      </c>
      <c r="E65">
        <v>12822</v>
      </c>
      <c r="F65">
        <v>13843</v>
      </c>
      <c r="G65">
        <v>14199</v>
      </c>
      <c r="H65">
        <v>16385</v>
      </c>
      <c r="I65">
        <v>19095</v>
      </c>
      <c r="J65">
        <v>20709</v>
      </c>
    </row>
    <row r="66" spans="1:10" s="1" customFormat="1" x14ac:dyDescent="0.3">
      <c r="A66" s="1" t="s">
        <v>13</v>
      </c>
      <c r="B66">
        <v>15706</v>
      </c>
      <c r="C66">
        <v>17862</v>
      </c>
      <c r="D66">
        <v>18629</v>
      </c>
      <c r="E66">
        <v>20153</v>
      </c>
      <c r="F66">
        <v>68740</v>
      </c>
      <c r="G66">
        <v>70506</v>
      </c>
      <c r="H66">
        <v>73077</v>
      </c>
      <c r="I66">
        <v>78489</v>
      </c>
      <c r="J66">
        <v>79863</v>
      </c>
    </row>
    <row r="67" spans="1:10" s="4" customFormat="1" x14ac:dyDescent="0.3">
      <c r="A67" s="4" t="s">
        <v>43</v>
      </c>
      <c r="B67">
        <v>1085</v>
      </c>
      <c r="C67">
        <v>1310</v>
      </c>
      <c r="D67">
        <v>1816</v>
      </c>
      <c r="E67">
        <v>1149</v>
      </c>
      <c r="F67">
        <v>1758</v>
      </c>
      <c r="G67">
        <v>2236</v>
      </c>
      <c r="H67">
        <v>3079</v>
      </c>
      <c r="I67">
        <v>2997</v>
      </c>
      <c r="J67">
        <v>3819</v>
      </c>
    </row>
    <row r="68" spans="1:10" x14ac:dyDescent="0.3">
      <c r="A68" s="4" t="s">
        <v>30</v>
      </c>
      <c r="B68">
        <v>2541</v>
      </c>
      <c r="C68">
        <v>2513</v>
      </c>
      <c r="D68">
        <v>2574</v>
      </c>
      <c r="E68">
        <v>2767</v>
      </c>
      <c r="F68">
        <v>3579</v>
      </c>
      <c r="G68">
        <v>4096</v>
      </c>
      <c r="H68">
        <v>4251</v>
      </c>
      <c r="I68">
        <v>4022</v>
      </c>
      <c r="J68">
        <v>4415</v>
      </c>
    </row>
    <row r="69" spans="1:10" x14ac:dyDescent="0.3">
      <c r="A69" s="3" t="s">
        <v>52</v>
      </c>
      <c r="B69">
        <v>1828</v>
      </c>
      <c r="C69">
        <v>3485</v>
      </c>
      <c r="D69">
        <v>3757</v>
      </c>
      <c r="E69">
        <v>5113</v>
      </c>
      <c r="F69">
        <v>4471</v>
      </c>
      <c r="G69">
        <v>3846</v>
      </c>
      <c r="H69">
        <v>4678</v>
      </c>
      <c r="I69">
        <v>7559</v>
      </c>
      <c r="J69">
        <v>7554</v>
      </c>
    </row>
    <row r="70" spans="1:10" x14ac:dyDescent="0.3">
      <c r="A70" s="3" t="s">
        <v>39</v>
      </c>
      <c r="B70">
        <v>2164349639</v>
      </c>
      <c r="C70">
        <v>2164528777</v>
      </c>
      <c r="D70">
        <v>2164704405</v>
      </c>
      <c r="E70">
        <v>2164704405</v>
      </c>
      <c r="F70">
        <v>2349567819</v>
      </c>
      <c r="G70">
        <v>2349591262</v>
      </c>
      <c r="H70">
        <v>2349591262</v>
      </c>
      <c r="I70">
        <v>2349591262</v>
      </c>
      <c r="J70">
        <v>2349591262</v>
      </c>
    </row>
    <row r="71" spans="1:10" x14ac:dyDescent="0.3">
      <c r="A71" s="3" t="s">
        <v>40</v>
      </c>
    </row>
    <row r="72" spans="1:10" x14ac:dyDescent="0.3">
      <c r="A72" s="3" t="s">
        <v>53</v>
      </c>
      <c r="B72">
        <v>1</v>
      </c>
      <c r="C72">
        <v>1</v>
      </c>
      <c r="D72">
        <v>1</v>
      </c>
      <c r="E72">
        <v>1</v>
      </c>
      <c r="F72">
        <v>1</v>
      </c>
      <c r="G72">
        <v>1</v>
      </c>
      <c r="H72">
        <v>1</v>
      </c>
      <c r="I72">
        <v>1</v>
      </c>
      <c r="J72">
        <v>1</v>
      </c>
    </row>
    <row r="74" spans="1:10" x14ac:dyDescent="0.3">
      <c r="A74" s="4"/>
    </row>
    <row r="75" spans="1:10" x14ac:dyDescent="0.3">
      <c r="A75" s="4"/>
    </row>
    <row r="76" spans="1:10" x14ac:dyDescent="0.3">
      <c r="A76" s="4"/>
    </row>
    <row r="77" spans="1:10" x14ac:dyDescent="0.3">
      <c r="A77" s="4"/>
    </row>
    <row r="78" spans="1:10" x14ac:dyDescent="0.3">
      <c r="A78" s="4"/>
    </row>
    <row r="79" spans="1:10" x14ac:dyDescent="0.3">
      <c r="A79" s="4"/>
    </row>
    <row r="80" spans="1:10" x14ac:dyDescent="0.3">
      <c r="A80" s="1" t="s">
        <v>27</v>
      </c>
    </row>
    <row r="81" spans="1:10" s="7" customFormat="1" x14ac:dyDescent="0.3">
      <c r="A81" s="6" t="s">
        <v>24</v>
      </c>
      <c r="B81" s="5">
        <v>42825</v>
      </c>
      <c r="C81" s="5">
        <v>43190</v>
      </c>
      <c r="D81" s="5">
        <v>43555</v>
      </c>
      <c r="E81" s="5">
        <v>43921</v>
      </c>
      <c r="F81" s="5">
        <v>44286</v>
      </c>
      <c r="G81" s="5">
        <v>44651</v>
      </c>
      <c r="H81" s="5">
        <v>45016</v>
      </c>
      <c r="I81" s="5">
        <v>45382</v>
      </c>
      <c r="J81" s="5">
        <v>45747</v>
      </c>
    </row>
    <row r="82" spans="1:10" s="1" customFormat="1" x14ac:dyDescent="0.3">
      <c r="A82" s="4" t="s">
        <v>18</v>
      </c>
      <c r="B82">
        <v>5185</v>
      </c>
      <c r="C82">
        <v>6059</v>
      </c>
      <c r="D82">
        <v>5800</v>
      </c>
      <c r="E82">
        <v>7623</v>
      </c>
      <c r="F82">
        <v>9163</v>
      </c>
      <c r="G82">
        <v>9048</v>
      </c>
      <c r="H82">
        <v>9991</v>
      </c>
      <c r="I82">
        <v>15469</v>
      </c>
      <c r="J82">
        <v>11886</v>
      </c>
    </row>
    <row r="83" spans="1:10" s="4" customFormat="1" x14ac:dyDescent="0.3">
      <c r="A83" s="4" t="s">
        <v>19</v>
      </c>
      <c r="B83">
        <v>-1173</v>
      </c>
      <c r="C83">
        <v>-1063</v>
      </c>
      <c r="D83">
        <v>-438</v>
      </c>
      <c r="E83">
        <v>1791</v>
      </c>
      <c r="F83">
        <v>-1228</v>
      </c>
      <c r="G83">
        <v>-1728</v>
      </c>
      <c r="H83">
        <v>-1484</v>
      </c>
      <c r="I83">
        <v>-5324</v>
      </c>
      <c r="J83">
        <v>6473</v>
      </c>
    </row>
    <row r="84" spans="1:10" s="4" customFormat="1" x14ac:dyDescent="0.3">
      <c r="A84" s="4" t="s">
        <v>20</v>
      </c>
      <c r="B84">
        <v>-4214</v>
      </c>
      <c r="C84">
        <v>-4975</v>
      </c>
      <c r="D84">
        <v>-5390</v>
      </c>
      <c r="E84">
        <v>-6819</v>
      </c>
      <c r="F84">
        <v>-9309</v>
      </c>
      <c r="G84">
        <v>-8015</v>
      </c>
      <c r="H84">
        <v>-8953</v>
      </c>
      <c r="I84">
        <v>-10034</v>
      </c>
      <c r="J84">
        <v>-13101</v>
      </c>
    </row>
    <row r="85" spans="1:10" s="1" customFormat="1" x14ac:dyDescent="0.3">
      <c r="A85" s="4" t="s">
        <v>21</v>
      </c>
      <c r="B85">
        <v>-202</v>
      </c>
      <c r="C85">
        <v>21</v>
      </c>
      <c r="D85">
        <v>-28</v>
      </c>
      <c r="E85">
        <v>2595</v>
      </c>
      <c r="F85">
        <v>-1374</v>
      </c>
      <c r="G85">
        <v>-695</v>
      </c>
      <c r="H85">
        <v>-446</v>
      </c>
      <c r="I85">
        <v>111</v>
      </c>
      <c r="J85">
        <v>5258</v>
      </c>
    </row>
    <row r="86" spans="1:10" x14ac:dyDescent="0.3">
      <c r="A86" s="4"/>
    </row>
    <row r="87" spans="1:10" x14ac:dyDescent="0.3">
      <c r="A87" s="4"/>
    </row>
    <row r="88" spans="1:10" x14ac:dyDescent="0.3">
      <c r="A88" s="4"/>
    </row>
    <row r="89" spans="1:10" x14ac:dyDescent="0.3">
      <c r="A89" s="4"/>
    </row>
    <row r="90" spans="1:10" s="1" customFormat="1" x14ac:dyDescent="0.3">
      <c r="A90" s="1" t="s">
        <v>42</v>
      </c>
      <c r="B90">
        <v>872.61</v>
      </c>
      <c r="C90">
        <v>1276.1099999999999</v>
      </c>
      <c r="D90">
        <v>1633.53</v>
      </c>
      <c r="E90">
        <v>2199.83</v>
      </c>
      <c r="F90">
        <v>2327.12</v>
      </c>
      <c r="G90">
        <v>1960.7</v>
      </c>
      <c r="H90">
        <v>2450.44</v>
      </c>
      <c r="I90">
        <v>2167.14</v>
      </c>
      <c r="J90">
        <v>2161.88</v>
      </c>
    </row>
    <row r="92" spans="1:10" s="1" customFormat="1" x14ac:dyDescent="0.3">
      <c r="A92" s="1" t="s">
        <v>41</v>
      </c>
    </row>
    <row r="93" spans="1:10" x14ac:dyDescent="0.3">
      <c r="A93" s="3" t="s">
        <v>54</v>
      </c>
      <c r="B93" s="8">
        <v>216.43</v>
      </c>
      <c r="C93" s="8">
        <v>216.45</v>
      </c>
      <c r="D93" s="8">
        <v>216.47</v>
      </c>
      <c r="E93" s="8">
        <v>216.48</v>
      </c>
      <c r="F93" s="8">
        <v>234.96</v>
      </c>
      <c r="G93" s="8">
        <v>234.96</v>
      </c>
      <c r="H93" s="8">
        <v>234.96</v>
      </c>
      <c r="I93" s="8">
        <v>234.96</v>
      </c>
      <c r="J93" s="8">
        <v>234.96</v>
      </c>
    </row>
    <row r="335" spans="2:2" x14ac:dyDescent="0.3">
      <c r="B335" s="151">
        <v>46146</v>
      </c>
    </row>
  </sheetData>
  <mergeCells count="2">
    <mergeCell ref="E1:J1"/>
    <mergeCell ref="E2:J2"/>
  </mergeCells>
  <conditionalFormatting sqref="E1:J1">
    <cfRule type="cellIs" dxfId="0" priority="1" operator="notEqual">
      <formula>""</formula>
    </cfRule>
  </conditionalFormatting>
  <hyperlinks>
    <hyperlink ref="E1:J1" r:id="rId1" display="https://www.screener.in/excel/" xr:uid="{00000000-0004-0000-05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4F97-ECA4-4F68-8E1D-80E447DC3558}">
  <sheetPr>
    <tabColor rgb="FFFF0000"/>
  </sheetPr>
  <dimension ref="B2:K335"/>
  <sheetViews>
    <sheetView showGridLines="0" workbookViewId="0">
      <pane ySplit="2" topLeftCell="A3" activePane="bottomLeft" state="frozen"/>
      <selection activeCell="G24" sqref="F24:G29"/>
      <selection pane="bottomLeft" activeCell="I24" sqref="I24"/>
    </sheetView>
  </sheetViews>
  <sheetFormatPr defaultRowHeight="14.4" x14ac:dyDescent="0.3"/>
  <cols>
    <col min="1" max="1" width="1.88671875" customWidth="1"/>
    <col min="2" max="2" width="22.77734375" bestFit="1" customWidth="1"/>
    <col min="3" max="7" width="10.44140625" bestFit="1" customWidth="1"/>
    <col min="8" max="8" width="9.44140625" bestFit="1" customWidth="1"/>
  </cols>
  <sheetData>
    <row r="2" spans="2:11" x14ac:dyDescent="0.3">
      <c r="B2" s="40" t="s">
        <v>291</v>
      </c>
      <c r="C2" s="101">
        <v>44256</v>
      </c>
      <c r="D2" s="101">
        <v>44621</v>
      </c>
      <c r="E2" s="101">
        <v>44986</v>
      </c>
      <c r="F2" s="101">
        <v>45352</v>
      </c>
      <c r="G2" s="101">
        <v>45717</v>
      </c>
    </row>
    <row r="4" spans="2:11" x14ac:dyDescent="0.3">
      <c r="B4" t="s">
        <v>262</v>
      </c>
      <c r="C4" s="104">
        <v>648</v>
      </c>
      <c r="D4" s="104">
        <v>648</v>
      </c>
      <c r="E4" s="104">
        <v>648</v>
      </c>
      <c r="F4" s="104">
        <v>651</v>
      </c>
      <c r="G4" s="104">
        <v>651</v>
      </c>
    </row>
    <row r="5" spans="2:11" x14ac:dyDescent="0.3">
      <c r="B5" t="s">
        <v>12</v>
      </c>
      <c r="C5" s="9">
        <v>11536</v>
      </c>
      <c r="D5" s="9">
        <v>13030</v>
      </c>
      <c r="E5" s="9">
        <v>15430</v>
      </c>
      <c r="F5" s="9">
        <v>18047</v>
      </c>
      <c r="G5" s="9">
        <v>20777</v>
      </c>
    </row>
    <row r="6" spans="2:11" x14ac:dyDescent="0.3">
      <c r="B6" s="2" t="s">
        <v>263</v>
      </c>
      <c r="C6" s="103"/>
      <c r="D6" s="103"/>
      <c r="E6" s="103"/>
      <c r="F6" s="103"/>
      <c r="G6" s="103"/>
    </row>
    <row r="7" spans="2:11" x14ac:dyDescent="0.3">
      <c r="B7" t="s">
        <v>264</v>
      </c>
      <c r="C7" s="104">
        <v>0</v>
      </c>
      <c r="D7" s="104">
        <v>0</v>
      </c>
      <c r="E7" s="104">
        <v>0</v>
      </c>
      <c r="F7" s="104">
        <v>0</v>
      </c>
      <c r="G7" s="104">
        <v>0</v>
      </c>
    </row>
    <row r="8" spans="2:11" x14ac:dyDescent="0.3">
      <c r="B8" t="s">
        <v>265</v>
      </c>
      <c r="C8" s="104">
        <v>0</v>
      </c>
      <c r="D8" s="104">
        <v>0</v>
      </c>
      <c r="E8" s="104">
        <v>0</v>
      </c>
      <c r="F8" s="104">
        <v>0</v>
      </c>
      <c r="G8" s="104">
        <v>0</v>
      </c>
    </row>
    <row r="9" spans="2:11" x14ac:dyDescent="0.3">
      <c r="B9" t="s">
        <v>266</v>
      </c>
      <c r="C9" s="104">
        <v>393</v>
      </c>
      <c r="D9" s="104">
        <v>647</v>
      </c>
      <c r="E9" s="104">
        <v>643</v>
      </c>
      <c r="F9" s="104">
        <v>592</v>
      </c>
      <c r="G9" s="104">
        <v>820</v>
      </c>
    </row>
    <row r="10" spans="2:11" x14ac:dyDescent="0.3">
      <c r="B10" t="s">
        <v>267</v>
      </c>
      <c r="C10" s="104">
        <v>0</v>
      </c>
      <c r="D10" s="104">
        <v>0</v>
      </c>
      <c r="E10" s="104">
        <v>0</v>
      </c>
      <c r="F10" s="104">
        <v>0</v>
      </c>
      <c r="G10" s="104">
        <v>0</v>
      </c>
    </row>
    <row r="11" spans="2:11" x14ac:dyDescent="0.3">
      <c r="B11" s="2" t="s">
        <v>268</v>
      </c>
      <c r="C11" s="103"/>
      <c r="D11" s="103"/>
      <c r="E11" s="103"/>
      <c r="F11" s="103"/>
      <c r="G11" s="103"/>
      <c r="K11" t="s">
        <v>131</v>
      </c>
    </row>
    <row r="12" spans="2:11" x14ac:dyDescent="0.3">
      <c r="B12" t="s">
        <v>269</v>
      </c>
      <c r="C12" s="104">
        <v>0</v>
      </c>
      <c r="D12" s="104">
        <v>0</v>
      </c>
      <c r="E12" s="104">
        <v>0</v>
      </c>
      <c r="F12" s="104">
        <v>0</v>
      </c>
      <c r="G12" s="104">
        <v>-1</v>
      </c>
    </row>
    <row r="13" spans="2:11" x14ac:dyDescent="0.3">
      <c r="B13" t="s">
        <v>270</v>
      </c>
      <c r="C13" s="104">
        <v>578</v>
      </c>
      <c r="D13" s="104">
        <v>589</v>
      </c>
      <c r="E13" s="104">
        <v>754</v>
      </c>
      <c r="F13" s="104">
        <v>985</v>
      </c>
      <c r="G13" s="104">
        <v>1071</v>
      </c>
    </row>
    <row r="14" spans="2:11" x14ac:dyDescent="0.3">
      <c r="B14" t="s">
        <v>271</v>
      </c>
      <c r="C14" s="104">
        <v>500</v>
      </c>
      <c r="D14" s="104">
        <v>557</v>
      </c>
      <c r="E14" s="104">
        <v>629</v>
      </c>
      <c r="F14" s="104">
        <v>898</v>
      </c>
      <c r="G14" s="104">
        <v>996</v>
      </c>
    </row>
    <row r="16" spans="2:11" x14ac:dyDescent="0.3">
      <c r="B16" s="49" t="s">
        <v>82</v>
      </c>
      <c r="C16" s="58">
        <v>13655</v>
      </c>
      <c r="D16" s="58">
        <v>15471</v>
      </c>
      <c r="E16" s="58">
        <v>18105</v>
      </c>
      <c r="F16" s="58">
        <v>21172</v>
      </c>
      <c r="G16" s="58">
        <v>24313</v>
      </c>
    </row>
    <row r="17" spans="2:8" x14ac:dyDescent="0.3">
      <c r="B17" s="2"/>
      <c r="C17" s="102"/>
      <c r="D17" s="102"/>
      <c r="E17" s="102"/>
      <c r="F17" s="102"/>
      <c r="G17" s="102"/>
    </row>
    <row r="18" spans="2:8" x14ac:dyDescent="0.3">
      <c r="B18" s="2" t="s">
        <v>272</v>
      </c>
      <c r="C18" s="21"/>
      <c r="D18" s="21"/>
      <c r="E18" s="21"/>
      <c r="F18" s="21"/>
      <c r="G18" s="21"/>
    </row>
    <row r="19" spans="2:8" x14ac:dyDescent="0.3">
      <c r="B19" t="s">
        <v>273</v>
      </c>
      <c r="C19" s="104">
        <v>3483</v>
      </c>
      <c r="D19" s="104">
        <v>4527</v>
      </c>
      <c r="E19" s="104">
        <v>5519</v>
      </c>
      <c r="F19" s="104">
        <v>6904</v>
      </c>
      <c r="G19" s="104">
        <v>8595</v>
      </c>
    </row>
    <row r="20" spans="2:8" x14ac:dyDescent="0.3">
      <c r="B20" t="s">
        <v>274</v>
      </c>
      <c r="C20" s="104">
        <v>3649</v>
      </c>
      <c r="D20" s="104">
        <v>4938</v>
      </c>
      <c r="E20" s="104">
        <v>6201</v>
      </c>
      <c r="F20" s="104">
        <v>7062</v>
      </c>
      <c r="G20" s="104">
        <v>8256</v>
      </c>
    </row>
    <row r="21" spans="2:8" x14ac:dyDescent="0.3">
      <c r="B21" t="s">
        <v>275</v>
      </c>
      <c r="C21" s="104">
        <v>352</v>
      </c>
      <c r="D21" s="104">
        <v>491</v>
      </c>
      <c r="E21" s="104">
        <v>656</v>
      </c>
      <c r="F21" s="104">
        <v>870</v>
      </c>
      <c r="G21" s="104">
        <v>1141</v>
      </c>
    </row>
    <row r="22" spans="2:8" x14ac:dyDescent="0.3">
      <c r="B22" t="s">
        <v>276</v>
      </c>
      <c r="C22" s="104">
        <v>50</v>
      </c>
      <c r="D22" s="104">
        <v>73</v>
      </c>
      <c r="E22" s="104">
        <v>85</v>
      </c>
      <c r="F22" s="104">
        <v>97</v>
      </c>
      <c r="G22" s="104">
        <v>115</v>
      </c>
    </row>
    <row r="23" spans="2:8" x14ac:dyDescent="0.3">
      <c r="B23" t="s">
        <v>277</v>
      </c>
      <c r="C23" s="104">
        <v>119</v>
      </c>
      <c r="D23" s="104">
        <v>153</v>
      </c>
      <c r="E23" s="104">
        <v>190</v>
      </c>
      <c r="F23" s="104">
        <v>219</v>
      </c>
      <c r="G23" s="104">
        <v>276</v>
      </c>
      <c r="H23" s="9"/>
    </row>
    <row r="24" spans="2:8" x14ac:dyDescent="0.3">
      <c r="B24" t="s">
        <v>278</v>
      </c>
      <c r="C24" s="104">
        <v>581</v>
      </c>
      <c r="D24" s="104">
        <v>772</v>
      </c>
      <c r="E24" s="104">
        <v>968</v>
      </c>
      <c r="F24" s="104">
        <v>1205</v>
      </c>
      <c r="G24" s="104">
        <v>1515</v>
      </c>
    </row>
    <row r="25" spans="2:8" x14ac:dyDescent="0.3">
      <c r="B25" t="s">
        <v>279</v>
      </c>
      <c r="C25" s="104">
        <v>4</v>
      </c>
      <c r="D25" s="104">
        <v>3</v>
      </c>
      <c r="E25" s="104">
        <v>15</v>
      </c>
      <c r="F25" s="104">
        <v>17</v>
      </c>
      <c r="G25" s="104">
        <v>6</v>
      </c>
    </row>
    <row r="26" spans="2:8" x14ac:dyDescent="0.3">
      <c r="B26" t="s">
        <v>280</v>
      </c>
      <c r="C26" s="104">
        <v>78</v>
      </c>
      <c r="D26" s="104">
        <v>78</v>
      </c>
      <c r="E26" s="104">
        <v>78</v>
      </c>
      <c r="F26" s="104">
        <v>78</v>
      </c>
      <c r="G26" s="104">
        <v>78</v>
      </c>
    </row>
    <row r="27" spans="2:8" x14ac:dyDescent="0.3">
      <c r="B27" t="s">
        <v>281</v>
      </c>
      <c r="C27" s="104">
        <v>81</v>
      </c>
      <c r="D27" s="104">
        <v>91</v>
      </c>
      <c r="E27" s="104">
        <v>105</v>
      </c>
      <c r="F27" s="104">
        <v>119</v>
      </c>
      <c r="G27" s="104">
        <v>124</v>
      </c>
    </row>
    <row r="28" spans="2:8" x14ac:dyDescent="0.3">
      <c r="B28" t="s">
        <v>282</v>
      </c>
      <c r="C28" s="104">
        <v>8396</v>
      </c>
      <c r="D28" s="104">
        <v>11127</v>
      </c>
      <c r="E28" s="104">
        <v>13816</v>
      </c>
      <c r="F28" s="104">
        <v>16571</v>
      </c>
      <c r="G28" s="104">
        <v>20106</v>
      </c>
    </row>
    <row r="29" spans="2:8" x14ac:dyDescent="0.3">
      <c r="B29" t="s">
        <v>283</v>
      </c>
      <c r="C29" s="104">
        <v>1387</v>
      </c>
      <c r="D29" s="104">
        <v>1867</v>
      </c>
      <c r="E29" s="104">
        <v>2476</v>
      </c>
      <c r="F29" s="104">
        <v>3156</v>
      </c>
      <c r="G29" s="104">
        <v>3900</v>
      </c>
    </row>
    <row r="30" spans="2:8" x14ac:dyDescent="0.3">
      <c r="B30" t="s">
        <v>284</v>
      </c>
      <c r="C30" s="104">
        <v>1020</v>
      </c>
      <c r="D30" s="104">
        <v>1129</v>
      </c>
      <c r="E30" s="104">
        <v>829</v>
      </c>
      <c r="F30" s="104">
        <v>935</v>
      </c>
      <c r="G30" s="104">
        <v>1099</v>
      </c>
    </row>
    <row r="31" spans="2:8" x14ac:dyDescent="0.3">
      <c r="B31" t="s">
        <v>16</v>
      </c>
      <c r="C31" s="104">
        <v>3</v>
      </c>
      <c r="D31" s="104">
        <v>6</v>
      </c>
      <c r="E31" s="104">
        <v>202</v>
      </c>
      <c r="F31" s="104">
        <v>107</v>
      </c>
      <c r="G31" s="104">
        <v>3</v>
      </c>
    </row>
    <row r="32" spans="2:8" x14ac:dyDescent="0.3">
      <c r="B32" s="2" t="s">
        <v>285</v>
      </c>
      <c r="C32" s="21"/>
      <c r="D32" s="21"/>
      <c r="E32" s="21"/>
      <c r="F32" s="21"/>
      <c r="G32" s="21"/>
    </row>
    <row r="33" spans="2:7" x14ac:dyDescent="0.3">
      <c r="B33" t="s">
        <v>286</v>
      </c>
      <c r="C33" s="104">
        <v>2248</v>
      </c>
      <c r="D33" s="104">
        <v>2743</v>
      </c>
      <c r="E33" s="104">
        <v>3243</v>
      </c>
      <c r="F33" s="104">
        <v>3927</v>
      </c>
      <c r="G33" s="104">
        <v>5044</v>
      </c>
    </row>
    <row r="34" spans="2:7" x14ac:dyDescent="0.3">
      <c r="B34" t="s">
        <v>287</v>
      </c>
      <c r="C34" s="104">
        <v>44</v>
      </c>
      <c r="D34" s="104">
        <v>67</v>
      </c>
      <c r="E34" s="104">
        <v>62</v>
      </c>
      <c r="F34" s="104">
        <v>166</v>
      </c>
      <c r="G34" s="104">
        <v>154</v>
      </c>
    </row>
    <row r="35" spans="2:7" x14ac:dyDescent="0.3">
      <c r="B35" t="s">
        <v>288</v>
      </c>
      <c r="C35" s="104">
        <v>1446</v>
      </c>
      <c r="D35" s="104">
        <v>299</v>
      </c>
      <c r="E35" s="104">
        <v>1408</v>
      </c>
      <c r="F35" s="104">
        <v>638</v>
      </c>
      <c r="G35" s="104">
        <v>358</v>
      </c>
    </row>
    <row r="36" spans="2:7" x14ac:dyDescent="0.3">
      <c r="B36" t="s">
        <v>289</v>
      </c>
      <c r="C36" s="104">
        <v>81</v>
      </c>
      <c r="D36" s="104">
        <v>109</v>
      </c>
      <c r="E36" s="104">
        <v>97</v>
      </c>
      <c r="F36" s="104">
        <v>105</v>
      </c>
      <c r="G36" s="104">
        <v>126</v>
      </c>
    </row>
    <row r="37" spans="2:7" x14ac:dyDescent="0.3">
      <c r="B37" t="s">
        <v>290</v>
      </c>
      <c r="C37" s="104">
        <v>1806</v>
      </c>
      <c r="D37" s="104">
        <v>1859</v>
      </c>
      <c r="E37" s="104">
        <v>922</v>
      </c>
      <c r="F37" s="104">
        <v>1879</v>
      </c>
      <c r="G37" s="104">
        <v>1321</v>
      </c>
    </row>
    <row r="38" spans="2:7" x14ac:dyDescent="0.3">
      <c r="C38" s="21"/>
      <c r="D38" s="21"/>
      <c r="F38" s="21"/>
      <c r="G38" s="21"/>
    </row>
    <row r="39" spans="2:7" x14ac:dyDescent="0.3">
      <c r="B39" s="49" t="s">
        <v>86</v>
      </c>
      <c r="C39" s="58">
        <v>13655</v>
      </c>
      <c r="D39" s="58">
        <v>15471</v>
      </c>
      <c r="E39" s="58">
        <v>18105</v>
      </c>
      <c r="F39" s="58">
        <v>21172</v>
      </c>
      <c r="G39" s="58">
        <v>24313</v>
      </c>
    </row>
    <row r="335" spans="2:2" x14ac:dyDescent="0.3">
      <c r="B335" s="150">
        <v>46146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1643-AE3B-4EBB-9975-474D5FE499A8}">
  <sheetPr>
    <tabColor rgb="FFFF0000"/>
  </sheetPr>
  <dimension ref="B2:N335"/>
  <sheetViews>
    <sheetView workbookViewId="0">
      <selection activeCell="G24" sqref="F24:G29"/>
    </sheetView>
  </sheetViews>
  <sheetFormatPr defaultRowHeight="14.4" x14ac:dyDescent="0.3"/>
  <cols>
    <col min="2" max="2" width="27" customWidth="1"/>
  </cols>
  <sheetData>
    <row r="2" spans="2:14" x14ac:dyDescent="0.3">
      <c r="C2" s="20">
        <v>42064</v>
      </c>
      <c r="D2" s="20">
        <v>42430</v>
      </c>
      <c r="E2" s="20">
        <v>42795</v>
      </c>
      <c r="F2" s="20">
        <v>43160</v>
      </c>
      <c r="G2" s="20">
        <v>43525</v>
      </c>
      <c r="H2" s="20">
        <v>43891</v>
      </c>
      <c r="I2" s="20">
        <v>44256</v>
      </c>
      <c r="J2" s="20">
        <v>44621</v>
      </c>
      <c r="K2" s="20">
        <v>44986</v>
      </c>
      <c r="L2" s="20">
        <v>45352</v>
      </c>
      <c r="M2" s="20">
        <v>45717</v>
      </c>
      <c r="N2" s="20">
        <v>46082</v>
      </c>
    </row>
    <row r="3" spans="2:14" x14ac:dyDescent="0.3">
      <c r="B3" t="s">
        <v>87</v>
      </c>
      <c r="C3">
        <v>222</v>
      </c>
      <c r="D3">
        <v>433</v>
      </c>
      <c r="E3">
        <v>455</v>
      </c>
      <c r="F3">
        <v>730</v>
      </c>
      <c r="G3">
        <v>807</v>
      </c>
      <c r="H3" s="21">
        <v>1280</v>
      </c>
      <c r="I3" s="21">
        <v>1375</v>
      </c>
      <c r="J3" s="21">
        <v>1372</v>
      </c>
      <c r="K3" s="21">
        <v>2630</v>
      </c>
      <c r="L3" s="21">
        <v>2746</v>
      </c>
      <c r="M3" s="21">
        <v>2463</v>
      </c>
      <c r="N3" s="21">
        <v>3467</v>
      </c>
    </row>
    <row r="4" spans="2:14" x14ac:dyDescent="0.3">
      <c r="B4" t="s">
        <v>88</v>
      </c>
      <c r="C4">
        <v>474</v>
      </c>
      <c r="D4">
        <v>666</v>
      </c>
      <c r="E4" s="21">
        <v>984</v>
      </c>
      <c r="F4" s="21">
        <v>1375</v>
      </c>
      <c r="G4" s="21">
        <v>1659</v>
      </c>
      <c r="H4" s="21">
        <v>2149</v>
      </c>
      <c r="I4" s="21">
        <v>1764</v>
      </c>
      <c r="J4" s="21">
        <v>2515</v>
      </c>
      <c r="K4" s="21">
        <v>3659</v>
      </c>
      <c r="L4" s="21">
        <v>4131</v>
      </c>
      <c r="M4" s="21">
        <v>4535</v>
      </c>
      <c r="N4" s="21">
        <v>5233</v>
      </c>
    </row>
    <row r="5" spans="2:14" x14ac:dyDescent="0.3">
      <c r="B5" t="s">
        <v>43</v>
      </c>
      <c r="C5">
        <v>2</v>
      </c>
      <c r="D5">
        <v>-1</v>
      </c>
      <c r="E5">
        <v>54</v>
      </c>
      <c r="F5">
        <v>-13</v>
      </c>
      <c r="G5">
        <v>-31</v>
      </c>
      <c r="H5">
        <v>45</v>
      </c>
      <c r="I5">
        <v>-24</v>
      </c>
      <c r="J5">
        <v>-23</v>
      </c>
      <c r="K5">
        <v>5</v>
      </c>
      <c r="L5">
        <v>-104</v>
      </c>
      <c r="M5">
        <v>13</v>
      </c>
      <c r="N5">
        <v>4</v>
      </c>
    </row>
    <row r="6" spans="2:14" x14ac:dyDescent="0.3">
      <c r="B6" t="s">
        <v>30</v>
      </c>
      <c r="C6">
        <v>-161</v>
      </c>
      <c r="D6">
        <v>-132</v>
      </c>
      <c r="E6">
        <v>-276</v>
      </c>
      <c r="F6">
        <v>-212</v>
      </c>
      <c r="G6">
        <v>-445</v>
      </c>
      <c r="H6">
        <v>-339</v>
      </c>
      <c r="I6">
        <v>-301</v>
      </c>
      <c r="J6">
        <v>-494</v>
      </c>
      <c r="K6">
        <v>-501</v>
      </c>
      <c r="L6">
        <v>-684</v>
      </c>
      <c r="M6" s="21">
        <v>-1117</v>
      </c>
      <c r="N6">
        <v>-856</v>
      </c>
    </row>
    <row r="7" spans="2:14" x14ac:dyDescent="0.3">
      <c r="B7" t="s">
        <v>89</v>
      </c>
      <c r="C7">
        <v>-4</v>
      </c>
      <c r="D7">
        <v>72</v>
      </c>
      <c r="E7">
        <v>0</v>
      </c>
      <c r="F7">
        <v>55</v>
      </c>
      <c r="G7">
        <v>146</v>
      </c>
      <c r="H7">
        <v>-30</v>
      </c>
      <c r="I7">
        <v>145</v>
      </c>
      <c r="J7">
        <v>11</v>
      </c>
      <c r="K7">
        <v>165</v>
      </c>
      <c r="L7">
        <v>231</v>
      </c>
      <c r="M7">
        <v>86</v>
      </c>
      <c r="N7">
        <v>267</v>
      </c>
    </row>
    <row r="8" spans="2:14" x14ac:dyDescent="0.3">
      <c r="B8" t="s">
        <v>118</v>
      </c>
      <c r="C8">
        <v>-5</v>
      </c>
      <c r="D8">
        <v>0</v>
      </c>
      <c r="E8">
        <v>0</v>
      </c>
      <c r="F8">
        <v>0</v>
      </c>
      <c r="G8">
        <v>0</v>
      </c>
      <c r="H8">
        <v>0</v>
      </c>
      <c r="I8">
        <v>0</v>
      </c>
      <c r="J8">
        <v>0</v>
      </c>
      <c r="K8">
        <v>0</v>
      </c>
      <c r="L8">
        <v>0</v>
      </c>
      <c r="M8">
        <v>0</v>
      </c>
      <c r="N8">
        <v>0</v>
      </c>
    </row>
    <row r="9" spans="2:14" x14ac:dyDescent="0.3">
      <c r="B9" t="s">
        <v>119</v>
      </c>
      <c r="C9">
        <v>0</v>
      </c>
      <c r="D9">
        <v>0</v>
      </c>
      <c r="E9">
        <v>-2</v>
      </c>
      <c r="F9">
        <v>-62</v>
      </c>
      <c r="G9">
        <v>52</v>
      </c>
      <c r="H9">
        <v>2</v>
      </c>
      <c r="I9">
        <v>12</v>
      </c>
      <c r="J9">
        <v>-3</v>
      </c>
      <c r="K9">
        <v>0</v>
      </c>
      <c r="L9">
        <v>0</v>
      </c>
      <c r="M9">
        <v>0</v>
      </c>
      <c r="N9">
        <v>0</v>
      </c>
    </row>
    <row r="10" spans="2:14" x14ac:dyDescent="0.3">
      <c r="B10" t="s">
        <v>120</v>
      </c>
      <c r="C10">
        <v>16</v>
      </c>
      <c r="D10">
        <v>-7</v>
      </c>
      <c r="E10">
        <v>-46</v>
      </c>
      <c r="F10">
        <v>-11</v>
      </c>
      <c r="G10">
        <v>-72</v>
      </c>
      <c r="H10">
        <v>-54</v>
      </c>
      <c r="I10">
        <v>41</v>
      </c>
      <c r="J10">
        <v>-73</v>
      </c>
      <c r="K10">
        <v>12</v>
      </c>
      <c r="L10">
        <v>-87</v>
      </c>
      <c r="M10" s="21">
        <v>-94</v>
      </c>
      <c r="N10">
        <v>-114</v>
      </c>
    </row>
    <row r="11" spans="2:14" x14ac:dyDescent="0.3">
      <c r="B11" t="s">
        <v>90</v>
      </c>
      <c r="C11">
        <v>-152</v>
      </c>
      <c r="D11">
        <v>-69</v>
      </c>
      <c r="E11">
        <v>-270</v>
      </c>
      <c r="F11">
        <v>-243</v>
      </c>
      <c r="G11">
        <v>-351</v>
      </c>
      <c r="H11">
        <v>-376</v>
      </c>
      <c r="I11">
        <v>-127</v>
      </c>
      <c r="J11">
        <v>-582</v>
      </c>
      <c r="K11">
        <v>-320</v>
      </c>
      <c r="L11">
        <v>-644</v>
      </c>
      <c r="M11" s="21">
        <v>-1113</v>
      </c>
      <c r="N11">
        <v>-699</v>
      </c>
    </row>
    <row r="12" spans="2:14" x14ac:dyDescent="0.3">
      <c r="B12" t="s">
        <v>91</v>
      </c>
      <c r="C12">
        <v>-100</v>
      </c>
      <c r="D12">
        <v>-164</v>
      </c>
      <c r="E12">
        <v>-258</v>
      </c>
      <c r="F12">
        <v>-403</v>
      </c>
      <c r="G12">
        <v>-502</v>
      </c>
      <c r="H12">
        <v>-492</v>
      </c>
      <c r="I12">
        <v>-262</v>
      </c>
      <c r="J12">
        <v>-560</v>
      </c>
      <c r="K12">
        <v>-709</v>
      </c>
      <c r="L12">
        <v>-742</v>
      </c>
      <c r="M12">
        <v>-959</v>
      </c>
      <c r="N12" s="21">
        <v>-1068</v>
      </c>
    </row>
    <row r="13" spans="2:14" x14ac:dyDescent="0.3">
      <c r="B13" t="s">
        <v>92</v>
      </c>
      <c r="C13">
        <v>-474</v>
      </c>
      <c r="D13">
        <v>-633</v>
      </c>
      <c r="E13" s="21">
        <v>-2482</v>
      </c>
      <c r="F13">
        <v>464</v>
      </c>
      <c r="G13">
        <v>-958</v>
      </c>
      <c r="H13" s="21">
        <v>-4657</v>
      </c>
      <c r="I13" s="21">
        <v>-1110</v>
      </c>
      <c r="J13" s="21">
        <v>-1289</v>
      </c>
      <c r="K13" s="21">
        <v>-2313</v>
      </c>
      <c r="L13" s="21">
        <v>-2468</v>
      </c>
      <c r="M13" s="21">
        <v>-2185</v>
      </c>
      <c r="N13" s="21">
        <v>-4207</v>
      </c>
    </row>
    <row r="14" spans="2:14" x14ac:dyDescent="0.3">
      <c r="B14" t="s">
        <v>93</v>
      </c>
      <c r="C14">
        <v>-477</v>
      </c>
      <c r="D14">
        <v>0</v>
      </c>
      <c r="E14">
        <v>-645</v>
      </c>
      <c r="F14">
        <v>-916</v>
      </c>
      <c r="G14" s="21">
        <v>-1417</v>
      </c>
      <c r="H14" s="21">
        <v>-1712</v>
      </c>
      <c r="I14" s="21">
        <v>-2029</v>
      </c>
      <c r="J14" s="21">
        <v>-2410</v>
      </c>
      <c r="K14" s="21">
        <v>-2212</v>
      </c>
      <c r="L14" s="21">
        <v>-2731</v>
      </c>
      <c r="M14" s="21">
        <v>-3423</v>
      </c>
      <c r="N14" s="21">
        <v>-4113</v>
      </c>
    </row>
    <row r="15" spans="2:14" x14ac:dyDescent="0.3">
      <c r="B15" t="s">
        <v>94</v>
      </c>
      <c r="C15">
        <v>0</v>
      </c>
      <c r="D15">
        <v>2</v>
      </c>
      <c r="E15">
        <v>10</v>
      </c>
      <c r="F15">
        <v>7</v>
      </c>
      <c r="G15">
        <v>8</v>
      </c>
      <c r="H15">
        <v>6</v>
      </c>
      <c r="I15">
        <v>2</v>
      </c>
      <c r="J15">
        <v>21</v>
      </c>
      <c r="K15">
        <v>5</v>
      </c>
      <c r="L15">
        <v>9</v>
      </c>
      <c r="M15">
        <v>6</v>
      </c>
      <c r="N15">
        <v>0</v>
      </c>
    </row>
    <row r="16" spans="2:14" x14ac:dyDescent="0.3">
      <c r="B16" t="s">
        <v>95</v>
      </c>
      <c r="C16" s="21">
        <v>-2901</v>
      </c>
      <c r="D16">
        <v>-638</v>
      </c>
      <c r="E16">
        <v>0</v>
      </c>
      <c r="F16">
        <v>0</v>
      </c>
      <c r="G16">
        <v>0</v>
      </c>
      <c r="H16">
        <v>0</v>
      </c>
      <c r="I16">
        <v>0</v>
      </c>
      <c r="J16">
        <v>0</v>
      </c>
      <c r="K16">
        <v>-193</v>
      </c>
      <c r="L16" s="21">
        <v>-4201</v>
      </c>
      <c r="M16" s="21">
        <v>-4948</v>
      </c>
      <c r="N16" s="21">
        <v>-3119</v>
      </c>
    </row>
    <row r="17" spans="2:14" x14ac:dyDescent="0.3">
      <c r="B17" t="s">
        <v>96</v>
      </c>
      <c r="C17" s="21">
        <v>2904</v>
      </c>
      <c r="D17">
        <v>0</v>
      </c>
      <c r="E17">
        <v>0</v>
      </c>
      <c r="F17" s="21">
        <v>1376</v>
      </c>
      <c r="G17">
        <v>410</v>
      </c>
      <c r="H17">
        <v>232</v>
      </c>
      <c r="I17">
        <v>3</v>
      </c>
      <c r="J17">
        <v>4</v>
      </c>
      <c r="K17">
        <v>6</v>
      </c>
      <c r="L17" s="21">
        <v>4324</v>
      </c>
      <c r="M17" s="21">
        <v>5074</v>
      </c>
      <c r="N17" s="21">
        <v>3123</v>
      </c>
    </row>
    <row r="18" spans="2:14" x14ac:dyDescent="0.3">
      <c r="B18" t="s">
        <v>121</v>
      </c>
      <c r="C18">
        <v>0</v>
      </c>
      <c r="D18">
        <v>3</v>
      </c>
      <c r="E18">
        <v>8</v>
      </c>
      <c r="F18">
        <v>0</v>
      </c>
      <c r="G18">
        <v>0</v>
      </c>
      <c r="H18">
        <v>0</v>
      </c>
      <c r="I18">
        <v>0</v>
      </c>
      <c r="J18">
        <v>0</v>
      </c>
      <c r="K18">
        <v>0</v>
      </c>
      <c r="L18">
        <v>0</v>
      </c>
      <c r="M18">
        <v>0</v>
      </c>
      <c r="N18">
        <v>0</v>
      </c>
    </row>
    <row r="19" spans="2:14" x14ac:dyDescent="0.3">
      <c r="B19" t="s">
        <v>97</v>
      </c>
      <c r="C19">
        <v>0</v>
      </c>
      <c r="D19">
        <v>1</v>
      </c>
      <c r="E19">
        <v>1</v>
      </c>
      <c r="F19">
        <v>31</v>
      </c>
      <c r="G19">
        <v>36</v>
      </c>
      <c r="H19">
        <v>12</v>
      </c>
      <c r="I19">
        <v>129</v>
      </c>
      <c r="J19">
        <v>43</v>
      </c>
      <c r="K19">
        <v>39</v>
      </c>
      <c r="L19">
        <v>262</v>
      </c>
      <c r="M19">
        <v>103</v>
      </c>
      <c r="N19">
        <v>44</v>
      </c>
    </row>
    <row r="20" spans="2:14" x14ac:dyDescent="0.3">
      <c r="B20" t="s">
        <v>98</v>
      </c>
      <c r="C20">
        <v>0</v>
      </c>
      <c r="D20">
        <v>0</v>
      </c>
      <c r="E20">
        <v>0</v>
      </c>
      <c r="F20">
        <v>0</v>
      </c>
      <c r="G20">
        <v>0</v>
      </c>
      <c r="H20">
        <v>0</v>
      </c>
      <c r="I20">
        <v>0</v>
      </c>
      <c r="J20" s="21">
        <v>0</v>
      </c>
      <c r="K20">
        <v>0</v>
      </c>
      <c r="L20">
        <v>0</v>
      </c>
      <c r="M20">
        <v>0</v>
      </c>
      <c r="N20">
        <v>0</v>
      </c>
    </row>
    <row r="21" spans="2:14" x14ac:dyDescent="0.3">
      <c r="B21" t="s">
        <v>122</v>
      </c>
      <c r="C21">
        <v>0</v>
      </c>
      <c r="D21">
        <v>-14</v>
      </c>
      <c r="E21">
        <v>-21</v>
      </c>
      <c r="F21">
        <v>-49</v>
      </c>
      <c r="G21">
        <v>0</v>
      </c>
      <c r="H21">
        <v>0</v>
      </c>
      <c r="I21">
        <v>0</v>
      </c>
      <c r="J21">
        <v>0</v>
      </c>
      <c r="K21">
        <v>0</v>
      </c>
      <c r="L21">
        <v>0</v>
      </c>
      <c r="M21">
        <v>0</v>
      </c>
      <c r="N21">
        <v>0</v>
      </c>
    </row>
    <row r="22" spans="2:14" x14ac:dyDescent="0.3">
      <c r="B22" t="s">
        <v>123</v>
      </c>
      <c r="C22">
        <v>0</v>
      </c>
      <c r="D22">
        <v>0</v>
      </c>
      <c r="E22">
        <v>0</v>
      </c>
      <c r="F22">
        <v>8</v>
      </c>
      <c r="G22">
        <v>0</v>
      </c>
      <c r="H22">
        <v>0</v>
      </c>
      <c r="I22">
        <v>0</v>
      </c>
      <c r="J22">
        <v>0</v>
      </c>
      <c r="K22">
        <v>0</v>
      </c>
      <c r="L22">
        <v>0</v>
      </c>
      <c r="M22">
        <v>0</v>
      </c>
      <c r="N22">
        <v>0</v>
      </c>
    </row>
    <row r="23" spans="2:14" x14ac:dyDescent="0.3">
      <c r="B23" t="s">
        <v>100</v>
      </c>
      <c r="C23">
        <v>0</v>
      </c>
      <c r="D23">
        <v>14</v>
      </c>
      <c r="E23" s="21">
        <v>-1835</v>
      </c>
      <c r="F23" s="21">
        <v>7</v>
      </c>
      <c r="G23">
        <v>3</v>
      </c>
      <c r="H23" s="21">
        <v>-3194</v>
      </c>
      <c r="I23">
        <v>786</v>
      </c>
      <c r="J23" s="21">
        <v>1054</v>
      </c>
      <c r="K23" s="21">
        <v>42</v>
      </c>
      <c r="L23">
        <v>-131</v>
      </c>
      <c r="M23" s="21">
        <v>1004</v>
      </c>
      <c r="N23">
        <v>-141</v>
      </c>
    </row>
    <row r="24" spans="2:14" x14ac:dyDescent="0.3">
      <c r="B24" t="s">
        <v>101</v>
      </c>
      <c r="C24">
        <v>234</v>
      </c>
      <c r="D24">
        <v>196</v>
      </c>
      <c r="E24" s="21">
        <v>2025</v>
      </c>
      <c r="F24" s="21">
        <v>-1159</v>
      </c>
      <c r="G24">
        <v>209</v>
      </c>
      <c r="H24" s="21">
        <v>3357</v>
      </c>
      <c r="I24">
        <v>-180</v>
      </c>
      <c r="J24" s="21">
        <v>-179</v>
      </c>
      <c r="K24">
        <v>-205</v>
      </c>
      <c r="L24">
        <v>-148</v>
      </c>
      <c r="M24">
        <v>-259</v>
      </c>
      <c r="N24">
        <v>288</v>
      </c>
    </row>
    <row r="25" spans="2:14" x14ac:dyDescent="0.3">
      <c r="B25" t="s">
        <v>102</v>
      </c>
      <c r="C25">
        <v>33</v>
      </c>
      <c r="D25">
        <v>0</v>
      </c>
      <c r="E25" s="21">
        <v>1841</v>
      </c>
      <c r="F25">
        <v>0</v>
      </c>
      <c r="G25">
        <v>0</v>
      </c>
      <c r="H25">
        <v>110</v>
      </c>
      <c r="I25">
        <v>0</v>
      </c>
      <c r="J25">
        <v>0</v>
      </c>
      <c r="K25">
        <v>15</v>
      </c>
      <c r="L25">
        <v>75</v>
      </c>
      <c r="M25">
        <v>0</v>
      </c>
      <c r="N25">
        <v>37</v>
      </c>
    </row>
    <row r="26" spans="2:14" x14ac:dyDescent="0.3">
      <c r="B26" t="s">
        <v>103</v>
      </c>
      <c r="C26">
        <v>200</v>
      </c>
      <c r="D26">
        <v>350</v>
      </c>
      <c r="E26">
        <v>250</v>
      </c>
      <c r="F26">
        <v>0</v>
      </c>
      <c r="G26">
        <v>0</v>
      </c>
      <c r="H26">
        <v>300</v>
      </c>
      <c r="I26">
        <v>0</v>
      </c>
      <c r="J26">
        <v>0</v>
      </c>
      <c r="K26">
        <v>0</v>
      </c>
      <c r="L26">
        <v>0</v>
      </c>
      <c r="M26">
        <v>0</v>
      </c>
      <c r="N26">
        <v>0</v>
      </c>
    </row>
    <row r="27" spans="2:14" x14ac:dyDescent="0.3">
      <c r="B27" t="s">
        <v>124</v>
      </c>
      <c r="C27">
        <v>0</v>
      </c>
      <c r="D27">
        <v>0</v>
      </c>
      <c r="E27">
        <v>0</v>
      </c>
      <c r="F27">
        <v>-384</v>
      </c>
      <c r="G27">
        <v>-170</v>
      </c>
      <c r="H27">
        <v>-512</v>
      </c>
      <c r="I27">
        <v>-34</v>
      </c>
      <c r="J27">
        <v>0</v>
      </c>
      <c r="K27">
        <v>0</v>
      </c>
      <c r="L27">
        <v>0</v>
      </c>
      <c r="M27">
        <v>0</v>
      </c>
      <c r="N27">
        <v>0</v>
      </c>
    </row>
    <row r="28" spans="2:14" x14ac:dyDescent="0.3">
      <c r="B28" t="s">
        <v>104</v>
      </c>
      <c r="C28">
        <v>295</v>
      </c>
      <c r="D28">
        <v>-60</v>
      </c>
      <c r="E28">
        <v>260</v>
      </c>
      <c r="F28">
        <v>0</v>
      </c>
      <c r="G28">
        <v>992</v>
      </c>
      <c r="H28" s="21">
        <v>1100</v>
      </c>
      <c r="I28">
        <v>200</v>
      </c>
      <c r="J28">
        <v>248</v>
      </c>
      <c r="K28">
        <v>0</v>
      </c>
      <c r="L28">
        <v>0</v>
      </c>
      <c r="M28">
        <v>0</v>
      </c>
      <c r="N28" s="21">
        <v>1588</v>
      </c>
    </row>
    <row r="29" spans="2:14" x14ac:dyDescent="0.3">
      <c r="B29" t="s">
        <v>105</v>
      </c>
      <c r="C29">
        <v>-232</v>
      </c>
      <c r="D29">
        <v>0</v>
      </c>
      <c r="E29">
        <v>-155</v>
      </c>
      <c r="F29">
        <v>-695</v>
      </c>
      <c r="G29">
        <v>-562</v>
      </c>
      <c r="H29" s="21">
        <v>-1550</v>
      </c>
      <c r="I29">
        <v>-204</v>
      </c>
      <c r="J29">
        <v>-248</v>
      </c>
      <c r="K29">
        <v>0</v>
      </c>
      <c r="L29">
        <v>0</v>
      </c>
      <c r="M29">
        <v>0</v>
      </c>
      <c r="N29" s="21">
        <v>-1003</v>
      </c>
    </row>
    <row r="30" spans="2:14" x14ac:dyDescent="0.3">
      <c r="B30" t="s">
        <v>106</v>
      </c>
      <c r="C30">
        <v>-62</v>
      </c>
      <c r="D30">
        <v>-93</v>
      </c>
      <c r="E30">
        <v>-120</v>
      </c>
      <c r="F30">
        <v>-80</v>
      </c>
      <c r="G30">
        <v>-51</v>
      </c>
      <c r="H30">
        <v>-68</v>
      </c>
      <c r="I30">
        <v>-44</v>
      </c>
      <c r="J30" s="21">
        <v>-54</v>
      </c>
      <c r="K30">
        <v>-67</v>
      </c>
      <c r="L30">
        <v>-58</v>
      </c>
      <c r="M30">
        <v>-69</v>
      </c>
      <c r="N30">
        <v>-141</v>
      </c>
    </row>
    <row r="31" spans="2:14" x14ac:dyDescent="0.3">
      <c r="B31" t="s">
        <v>108</v>
      </c>
      <c r="C31" s="22">
        <v>0</v>
      </c>
      <c r="D31" s="22">
        <v>0</v>
      </c>
      <c r="E31" s="22">
        <v>0</v>
      </c>
      <c r="F31" s="22">
        <v>0</v>
      </c>
      <c r="G31" s="22">
        <v>0</v>
      </c>
      <c r="H31" s="22">
        <v>-100</v>
      </c>
      <c r="I31" s="22">
        <v>-98</v>
      </c>
      <c r="J31" s="22">
        <v>-125</v>
      </c>
      <c r="K31" s="22">
        <v>-153</v>
      </c>
      <c r="L31" s="22">
        <v>-164</v>
      </c>
      <c r="M31" s="22">
        <v>-190</v>
      </c>
      <c r="N31" s="22">
        <v>-194</v>
      </c>
    </row>
    <row r="32" spans="2:14" x14ac:dyDescent="0.3">
      <c r="B32" t="s">
        <v>125</v>
      </c>
      <c r="C32">
        <v>0</v>
      </c>
      <c r="D32">
        <v>0</v>
      </c>
      <c r="E32">
        <v>0</v>
      </c>
      <c r="F32">
        <v>0</v>
      </c>
      <c r="G32">
        <v>0</v>
      </c>
      <c r="H32">
        <v>0</v>
      </c>
      <c r="I32">
        <v>0</v>
      </c>
      <c r="J32">
        <v>0</v>
      </c>
      <c r="K32">
        <v>1</v>
      </c>
      <c r="L32">
        <v>0</v>
      </c>
      <c r="M32">
        <v>0</v>
      </c>
      <c r="N32">
        <v>1</v>
      </c>
    </row>
    <row r="33" spans="2:14" x14ac:dyDescent="0.3">
      <c r="B33" t="s">
        <v>109</v>
      </c>
      <c r="C33">
        <v>0</v>
      </c>
      <c r="D33">
        <v>0</v>
      </c>
      <c r="E33">
        <v>-50</v>
      </c>
      <c r="F33">
        <v>0</v>
      </c>
      <c r="G33">
        <v>0</v>
      </c>
      <c r="H33" s="21">
        <v>4077</v>
      </c>
      <c r="I33">
        <v>0</v>
      </c>
      <c r="J33">
        <v>0</v>
      </c>
      <c r="K33">
        <v>0</v>
      </c>
      <c r="L33">
        <v>0</v>
      </c>
      <c r="M33">
        <v>0</v>
      </c>
      <c r="N33">
        <v>0</v>
      </c>
    </row>
    <row r="34" spans="2:14" x14ac:dyDescent="0.3">
      <c r="B34" t="s">
        <v>21</v>
      </c>
      <c r="C34">
        <v>-17</v>
      </c>
      <c r="D34">
        <v>-3</v>
      </c>
      <c r="E34">
        <v>-1</v>
      </c>
      <c r="F34">
        <v>34</v>
      </c>
      <c r="G34">
        <v>57</v>
      </c>
      <c r="H34">
        <v>-19</v>
      </c>
      <c r="I34">
        <v>86</v>
      </c>
      <c r="J34">
        <v>-96</v>
      </c>
      <c r="K34">
        <v>112</v>
      </c>
      <c r="L34">
        <v>130</v>
      </c>
      <c r="M34">
        <v>18</v>
      </c>
      <c r="N34">
        <v>-452</v>
      </c>
    </row>
    <row r="35" spans="2:14" x14ac:dyDescent="0.3">
      <c r="B35" t="s">
        <v>110</v>
      </c>
      <c r="C35">
        <v>-255</v>
      </c>
      <c r="D35">
        <v>435</v>
      </c>
      <c r="E35">
        <v>-180</v>
      </c>
      <c r="F35">
        <v>-179</v>
      </c>
      <c r="G35">
        <v>-602</v>
      </c>
      <c r="H35">
        <v>-426</v>
      </c>
      <c r="I35">
        <v>-652</v>
      </c>
      <c r="J35" s="21">
        <v>-1017</v>
      </c>
      <c r="K35">
        <v>424</v>
      </c>
      <c r="L35">
        <v>24</v>
      </c>
      <c r="M35">
        <v>-954</v>
      </c>
      <c r="N35">
        <v>-646</v>
      </c>
    </row>
    <row r="36" spans="2:14" x14ac:dyDescent="0.3">
      <c r="B36" t="s">
        <v>111</v>
      </c>
      <c r="C36" s="22">
        <v>0.71</v>
      </c>
      <c r="D36" s="22">
        <v>0.9</v>
      </c>
      <c r="E36" s="22">
        <v>0.74</v>
      </c>
      <c r="F36" s="22">
        <v>0.84</v>
      </c>
      <c r="G36" s="22">
        <v>0.8</v>
      </c>
      <c r="H36" s="22">
        <v>0.83</v>
      </c>
      <c r="I36" s="22">
        <v>0.94</v>
      </c>
      <c r="J36" s="22">
        <v>0.77</v>
      </c>
      <c r="K36" s="22">
        <v>0.92</v>
      </c>
      <c r="L36" s="22">
        <v>0.85</v>
      </c>
      <c r="M36" s="22">
        <v>0.76</v>
      </c>
      <c r="N36" s="22">
        <v>0.87</v>
      </c>
    </row>
    <row r="335" spans="2:2" x14ac:dyDescent="0.3">
      <c r="B335" s="150">
        <v>46146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D23A-51C4-4DE1-AC9C-34473CD28042}">
  <sheetPr>
    <tabColor rgb="FFFF0000"/>
  </sheetPr>
  <dimension ref="A1:X335"/>
  <sheetViews>
    <sheetView showGridLines="0" zoomScaleNormal="100" workbookViewId="0">
      <selection activeCell="D2" sqref="D2"/>
    </sheetView>
  </sheetViews>
  <sheetFormatPr defaultRowHeight="14.4" x14ac:dyDescent="0.3"/>
  <cols>
    <col min="1" max="1" width="1.88671875" style="59" customWidth="1"/>
    <col min="2" max="2" width="15.44140625" style="59" bestFit="1" customWidth="1"/>
    <col min="3" max="3" width="8.44140625" style="59" bestFit="1" customWidth="1"/>
    <col min="4" max="5" width="10.33203125" style="59" bestFit="1" customWidth="1"/>
    <col min="6" max="6" width="9" style="59" bestFit="1" customWidth="1"/>
    <col min="7" max="7" width="10.33203125" style="59" bestFit="1" customWidth="1"/>
    <col min="8" max="8" width="10.6640625" style="59" bestFit="1" customWidth="1"/>
    <col min="9" max="9" width="8.44140625" style="59" bestFit="1" customWidth="1"/>
    <col min="10" max="10" width="10.33203125" style="59" bestFit="1" customWidth="1"/>
    <col min="11" max="11" width="11.21875" style="59" bestFit="1" customWidth="1"/>
    <col min="12" max="12" width="8.44140625" style="59" bestFit="1" customWidth="1"/>
    <col min="13" max="13" width="11.44140625" style="59" bestFit="1" customWidth="1"/>
    <col min="14" max="14" width="11.88671875" style="59" bestFit="1" customWidth="1"/>
    <col min="15" max="15" width="8.44140625" style="59" bestFit="1" customWidth="1"/>
    <col min="16" max="16" width="10.33203125" style="59" bestFit="1" customWidth="1"/>
    <col min="17" max="17" width="8.88671875" style="59"/>
    <col min="18" max="18" width="11.88671875" style="59" bestFit="1" customWidth="1"/>
    <col min="19" max="19" width="8.44140625" style="59" bestFit="1" customWidth="1"/>
    <col min="20" max="20" width="10.33203125" style="59" bestFit="1" customWidth="1"/>
    <col min="21" max="21" width="8.88671875" style="59"/>
    <col min="22" max="22" width="11.88671875" style="59" bestFit="1" customWidth="1"/>
    <col min="23" max="23" width="8.44140625" style="59" bestFit="1" customWidth="1"/>
    <col min="24" max="24" width="10.33203125" style="59" bestFit="1" customWidth="1"/>
    <col min="25" max="16384" width="8.88671875" style="59"/>
  </cols>
  <sheetData>
    <row r="1" spans="1:24" x14ac:dyDescent="0.3">
      <c r="B1" s="135" t="s">
        <v>323</v>
      </c>
      <c r="E1" s="135" t="s">
        <v>324</v>
      </c>
      <c r="H1" s="145" t="s">
        <v>318</v>
      </c>
      <c r="K1" s="145" t="s">
        <v>436</v>
      </c>
      <c r="N1" s="145" t="s">
        <v>437</v>
      </c>
      <c r="R1" s="145" t="s">
        <v>317</v>
      </c>
      <c r="V1" s="145" t="s">
        <v>440</v>
      </c>
    </row>
    <row r="2" spans="1:24" x14ac:dyDescent="0.3">
      <c r="A2" s="99"/>
      <c r="B2" s="59" t="s">
        <v>251</v>
      </c>
      <c r="C2" s="59" t="s">
        <v>322</v>
      </c>
      <c r="E2" s="59" t="s">
        <v>251</v>
      </c>
      <c r="F2" s="59" t="s">
        <v>322</v>
      </c>
      <c r="H2" s="59" t="s">
        <v>251</v>
      </c>
      <c r="I2" s="59" t="s">
        <v>322</v>
      </c>
      <c r="K2" s="59" t="s">
        <v>251</v>
      </c>
      <c r="L2" s="59" t="s">
        <v>322</v>
      </c>
      <c r="N2" s="59" t="s">
        <v>251</v>
      </c>
      <c r="O2" s="59" t="s">
        <v>322</v>
      </c>
      <c r="P2" s="59" t="s">
        <v>251</v>
      </c>
      <c r="R2" s="59" t="s">
        <v>251</v>
      </c>
      <c r="S2" s="59" t="s">
        <v>322</v>
      </c>
      <c r="V2" s="59" t="s">
        <v>251</v>
      </c>
      <c r="W2" s="59" t="s">
        <v>322</v>
      </c>
    </row>
    <row r="3" spans="1:24" x14ac:dyDescent="0.3">
      <c r="A3" s="99"/>
      <c r="B3" s="99">
        <v>45425</v>
      </c>
      <c r="C3" s="94">
        <v>2236.9</v>
      </c>
      <c r="D3" s="99"/>
      <c r="E3" s="99">
        <v>45425</v>
      </c>
      <c r="F3" s="94">
        <v>22466.1</v>
      </c>
      <c r="H3" s="99">
        <v>45425</v>
      </c>
      <c r="I3" s="94">
        <v>1227.05</v>
      </c>
      <c r="J3" s="99"/>
      <c r="K3" s="99">
        <v>45425</v>
      </c>
      <c r="L3" s="59">
        <v>585.57000000000005</v>
      </c>
      <c r="M3" s="147"/>
      <c r="N3" s="59" t="s">
        <v>328</v>
      </c>
      <c r="O3" s="94">
        <v>1030.5</v>
      </c>
      <c r="P3" s="99">
        <f>DATE(RIGHT(N3,4),MATCH(LEFT(N3,3),{"Jan","Feb","Mar","Apr","May","Jun","Jul","Aug","Sep","Oct","Nov","Dec"},0),MID(N3,5,2))</f>
        <v>46155</v>
      </c>
      <c r="R3" s="59" t="s">
        <v>328</v>
      </c>
      <c r="S3" s="59">
        <v>428.9</v>
      </c>
      <c r="T3" s="99">
        <f>DATE(RIGHT(R3,4),MATCH(LEFT(R3,3),{"Jan","Feb","Mar","Apr","May","Jun","Jul","Aug","Sep","Oct","Nov","Dec"},0),MID(R3,5,2))</f>
        <v>46155</v>
      </c>
      <c r="V3" s="59" t="s">
        <v>328</v>
      </c>
      <c r="W3" s="59">
        <v>463.1</v>
      </c>
      <c r="X3" s="99">
        <f>DATE(RIGHT(V3,4),MATCH(LEFT(V3,3),{"Jan","Feb","Mar","Apr","May","Jun","Jul","Aug","Sep","Oct","Nov","Dec"},0),MID(V3,5,2))</f>
        <v>46155</v>
      </c>
    </row>
    <row r="4" spans="1:24" x14ac:dyDescent="0.3">
      <c r="A4" s="99"/>
      <c r="B4" s="99">
        <v>45432</v>
      </c>
      <c r="C4" s="94">
        <v>2277.17</v>
      </c>
      <c r="D4" s="99"/>
      <c r="E4" s="99">
        <v>45432</v>
      </c>
      <c r="F4" s="94">
        <v>22957.1</v>
      </c>
      <c r="H4" s="99">
        <v>45432</v>
      </c>
      <c r="I4" s="94">
        <v>1209.0899999999999</v>
      </c>
      <c r="J4" s="99"/>
      <c r="K4" s="99">
        <v>45432</v>
      </c>
      <c r="L4" s="59">
        <v>594.88</v>
      </c>
      <c r="M4" s="147"/>
      <c r="N4" s="59" t="s">
        <v>329</v>
      </c>
      <c r="O4" s="94">
        <v>1025.0999999999999</v>
      </c>
      <c r="P4" s="99">
        <f>DATE(RIGHT(N4,4),MATCH(LEFT(N4,3),{"Jan","Feb","Mar","Apr","May","Jun","Jul","Aug","Sep","Oct","Nov","Dec"},0),MID(N4,5,2))</f>
        <v>46153</v>
      </c>
      <c r="R4" s="59" t="s">
        <v>329</v>
      </c>
      <c r="S4" s="59">
        <v>432.4</v>
      </c>
      <c r="T4" s="99">
        <f>DATE(RIGHT(R4,4),MATCH(LEFT(R4,3),{"Jan","Feb","Mar","Apr","May","Jun","Jul","Aug","Sep","Oct","Nov","Dec"},0),MID(R4,5,2))</f>
        <v>46153</v>
      </c>
      <c r="V4" s="59" t="s">
        <v>329</v>
      </c>
      <c r="W4" s="59">
        <v>473.25</v>
      </c>
      <c r="X4" s="99">
        <f>DATE(RIGHT(V4,4),MATCH(LEFT(V4,3),{"Jan","Feb","Mar","Apr","May","Jun","Jul","Aug","Sep","Oct","Nov","Dec"},0),MID(V4,5,2))</f>
        <v>46153</v>
      </c>
    </row>
    <row r="5" spans="1:24" x14ac:dyDescent="0.3">
      <c r="A5" s="99"/>
      <c r="B5" s="99">
        <v>45439</v>
      </c>
      <c r="C5" s="94">
        <v>2238.7199999999998</v>
      </c>
      <c r="D5" s="99"/>
      <c r="E5" s="99">
        <v>45439</v>
      </c>
      <c r="F5" s="94">
        <v>22530.7</v>
      </c>
      <c r="H5" s="99">
        <v>45439</v>
      </c>
      <c r="I5" s="94">
        <v>1153.8</v>
      </c>
      <c r="J5" s="99"/>
      <c r="K5" s="99">
        <v>45439</v>
      </c>
      <c r="L5" s="59">
        <v>586.55999999999995</v>
      </c>
      <c r="M5" s="147"/>
      <c r="N5" s="59" t="s">
        <v>330</v>
      </c>
      <c r="O5" s="94">
        <v>1037.24</v>
      </c>
      <c r="P5" s="99">
        <v>46146</v>
      </c>
      <c r="R5" s="59" t="s">
        <v>330</v>
      </c>
      <c r="S5" s="59">
        <v>456.95</v>
      </c>
      <c r="T5" s="99">
        <v>46146</v>
      </c>
      <c r="V5" s="59" t="s">
        <v>330</v>
      </c>
      <c r="W5" s="59">
        <v>487.7</v>
      </c>
      <c r="X5" s="99">
        <v>46146</v>
      </c>
    </row>
    <row r="6" spans="1:24" x14ac:dyDescent="0.3">
      <c r="A6" s="99"/>
      <c r="B6" s="99">
        <v>45446</v>
      </c>
      <c r="C6" s="94">
        <v>2477.8200000000002</v>
      </c>
      <c r="D6" s="99"/>
      <c r="E6" s="99">
        <v>45446</v>
      </c>
      <c r="F6" s="94">
        <v>23290.15</v>
      </c>
      <c r="H6" s="99">
        <v>45446</v>
      </c>
      <c r="I6" s="94">
        <v>1226.0899999999999</v>
      </c>
      <c r="J6" s="99"/>
      <c r="K6" s="99">
        <v>45446</v>
      </c>
      <c r="L6" s="59">
        <v>643.14</v>
      </c>
      <c r="M6" s="147"/>
      <c r="N6" s="59" t="s">
        <v>331</v>
      </c>
      <c r="O6" s="94">
        <v>1061.82</v>
      </c>
      <c r="P6" s="99">
        <f>DATE(RIGHT(N6,4),MATCH(LEFT(N6,3),{"Jan","Feb","Mar","Apr","May","Jun","Jul","Aug","Sep","Oct","Nov","Dec"},0),MID(N6,5,2))</f>
        <v>46139</v>
      </c>
      <c r="R6" s="59" t="s">
        <v>331</v>
      </c>
      <c r="S6" s="59">
        <v>444.5</v>
      </c>
      <c r="T6" s="99">
        <f>DATE(RIGHT(R6,4),MATCH(LEFT(R6,3),{"Jan","Feb","Mar","Apr","May","Jun","Jul","Aug","Sep","Oct","Nov","Dec"},0),MID(R6,5,2))</f>
        <v>46139</v>
      </c>
      <c r="V6" s="59" t="s">
        <v>331</v>
      </c>
      <c r="W6" s="59">
        <v>441.5</v>
      </c>
      <c r="X6" s="99">
        <f>DATE(RIGHT(V6,4),MATCH(LEFT(V6,3),{"Jan","Feb","Mar","Apr","May","Jun","Jul","Aug","Sep","Oct","Nov","Dec"},0),MID(V6,5,2))</f>
        <v>46139</v>
      </c>
    </row>
    <row r="7" spans="1:24" x14ac:dyDescent="0.3">
      <c r="A7" s="99"/>
      <c r="B7" s="99">
        <v>45453</v>
      </c>
      <c r="C7" s="61">
        <v>2383.58</v>
      </c>
      <c r="D7" s="99"/>
      <c r="E7" s="99">
        <v>45453</v>
      </c>
      <c r="F7" s="94">
        <v>23465.599999999999</v>
      </c>
      <c r="H7" s="99">
        <v>45453</v>
      </c>
      <c r="I7" s="94">
        <v>1245.71</v>
      </c>
      <c r="J7" s="99"/>
      <c r="K7" s="99">
        <v>45453</v>
      </c>
      <c r="L7" s="59">
        <v>610</v>
      </c>
      <c r="M7" s="147"/>
      <c r="N7" s="59" t="s">
        <v>332</v>
      </c>
      <c r="O7" s="94">
        <v>1084.51</v>
      </c>
      <c r="P7" s="99">
        <f>DATE(RIGHT(N7,4),MATCH(LEFT(N7,3),{"Jan","Feb","Mar","Apr","May","Jun","Jul","Aug","Sep","Oct","Nov","Dec"},0),MID(N7,5,2))</f>
        <v>46132</v>
      </c>
      <c r="R7" s="59" t="s">
        <v>332</v>
      </c>
      <c r="S7" s="59">
        <v>460.15</v>
      </c>
      <c r="T7" s="99">
        <f>DATE(RIGHT(R7,4),MATCH(LEFT(R7,3),{"Jan","Feb","Mar","Apr","May","Jun","Jul","Aug","Sep","Oct","Nov","Dec"},0),MID(R7,5,2))</f>
        <v>46132</v>
      </c>
      <c r="V7" s="59" t="s">
        <v>332</v>
      </c>
      <c r="W7" s="59">
        <v>451.1</v>
      </c>
      <c r="X7" s="99">
        <f>DATE(RIGHT(V7,4),MATCH(LEFT(V7,3),{"Jan","Feb","Mar","Apr","May","Jun","Jul","Aug","Sep","Oct","Nov","Dec"},0),MID(V7,5,2))</f>
        <v>46132</v>
      </c>
    </row>
    <row r="8" spans="1:24" x14ac:dyDescent="0.3">
      <c r="A8" s="99"/>
      <c r="B8" s="99">
        <v>45460</v>
      </c>
      <c r="C8" s="61">
        <v>2369.48</v>
      </c>
      <c r="D8" s="99"/>
      <c r="E8" s="99">
        <v>45460</v>
      </c>
      <c r="F8" s="94">
        <v>23501.1</v>
      </c>
      <c r="H8" s="99">
        <v>45460</v>
      </c>
      <c r="I8" s="94">
        <v>1224.1099999999999</v>
      </c>
      <c r="J8" s="99"/>
      <c r="K8" s="99">
        <v>45460</v>
      </c>
      <c r="L8" s="59">
        <v>600.59</v>
      </c>
      <c r="M8" s="147"/>
      <c r="N8" s="59" t="s">
        <v>333</v>
      </c>
      <c r="O8" s="94">
        <v>1103.9100000000001</v>
      </c>
      <c r="P8" s="99">
        <f>DATE(RIGHT(N8,4),MATCH(LEFT(N8,3),{"Jan","Feb","Mar","Apr","May","Jun","Jul","Aug","Sep","Oct","Nov","Dec"},0),MID(N8,5,2))</f>
        <v>46125</v>
      </c>
      <c r="R8" s="59" t="s">
        <v>333</v>
      </c>
      <c r="S8" s="59">
        <v>452.1</v>
      </c>
      <c r="T8" s="99">
        <f>DATE(RIGHT(R8,4),MATCH(LEFT(R8,3),{"Jan","Feb","Mar","Apr","May","Jun","Jul","Aug","Sep","Oct","Nov","Dec"},0),MID(R8,5,2))</f>
        <v>46125</v>
      </c>
      <c r="V8" s="59" t="s">
        <v>333</v>
      </c>
      <c r="W8" s="59">
        <v>442.85</v>
      </c>
      <c r="X8" s="99">
        <f>DATE(RIGHT(V8,4),MATCH(LEFT(V8,3),{"Jan","Feb","Mar","Apr","May","Jun","Jul","Aug","Sep","Oct","Nov","Dec"},0),MID(V8,5,2))</f>
        <v>46125</v>
      </c>
    </row>
    <row r="9" spans="1:24" x14ac:dyDescent="0.3">
      <c r="A9" s="99"/>
      <c r="B9" s="99">
        <v>45467</v>
      </c>
      <c r="C9" s="61">
        <v>2400.3000000000002</v>
      </c>
      <c r="D9" s="99"/>
      <c r="E9" s="99">
        <v>45467</v>
      </c>
      <c r="F9" s="94">
        <v>24010.6</v>
      </c>
      <c r="H9" s="99">
        <v>45467</v>
      </c>
      <c r="I9" s="94">
        <v>1250.2</v>
      </c>
      <c r="J9" s="99"/>
      <c r="K9" s="99">
        <v>45467</v>
      </c>
      <c r="L9" s="59">
        <v>603.74</v>
      </c>
      <c r="M9" s="147"/>
      <c r="N9" s="59" t="s">
        <v>334</v>
      </c>
      <c r="O9" s="94">
        <v>1072.77</v>
      </c>
      <c r="P9" s="99">
        <v>46118</v>
      </c>
      <c r="R9" s="59" t="s">
        <v>334</v>
      </c>
      <c r="S9" s="59">
        <v>424.15</v>
      </c>
      <c r="T9" s="99">
        <v>46118</v>
      </c>
      <c r="V9" s="59" t="s">
        <v>334</v>
      </c>
      <c r="W9" s="59">
        <v>435.7</v>
      </c>
      <c r="X9" s="99">
        <v>46118</v>
      </c>
    </row>
    <row r="10" spans="1:24" x14ac:dyDescent="0.3">
      <c r="A10" s="99"/>
      <c r="B10" s="99">
        <v>45474</v>
      </c>
      <c r="C10" s="61">
        <v>2472.0700000000002</v>
      </c>
      <c r="D10" s="99"/>
      <c r="E10" s="99">
        <v>45474</v>
      </c>
      <c r="F10" s="94">
        <v>24323.85</v>
      </c>
      <c r="H10" s="99">
        <v>45474</v>
      </c>
      <c r="I10" s="94">
        <v>1261.22</v>
      </c>
      <c r="J10" s="99"/>
      <c r="K10" s="99">
        <v>45474</v>
      </c>
      <c r="L10" s="59">
        <v>606.05999999999995</v>
      </c>
      <c r="M10" s="147"/>
      <c r="N10" s="59" t="s">
        <v>335</v>
      </c>
      <c r="O10" s="59">
        <v>989.88</v>
      </c>
      <c r="P10" s="99">
        <f>DATE(RIGHT(N10,4),MATCH(LEFT(N10,3),{"Jan","Feb","Mar","Apr","May","Jun","Jul","Aug","Sep","Oct","Nov","Dec"},0),MID(N10,5,2))</f>
        <v>46111</v>
      </c>
      <c r="R10" s="59" t="s">
        <v>335</v>
      </c>
      <c r="S10" s="59">
        <v>398.3</v>
      </c>
      <c r="T10" s="99">
        <f>DATE(RIGHT(R10,4),MATCH(LEFT(R10,3),{"Jan","Feb","Mar","Apr","May","Jun","Jul","Aug","Sep","Oct","Nov","Dec"},0),MID(R10,5,2))</f>
        <v>46111</v>
      </c>
      <c r="V10" s="59" t="s">
        <v>335</v>
      </c>
      <c r="W10" s="59">
        <v>417.25</v>
      </c>
      <c r="X10" s="99">
        <f>DATE(RIGHT(V10,4),MATCH(LEFT(V10,3),{"Jan","Feb","Mar","Apr","May","Jun","Jul","Aug","Sep","Oct","Nov","Dec"},0),MID(V10,5,2))</f>
        <v>46111</v>
      </c>
    </row>
    <row r="11" spans="1:24" x14ac:dyDescent="0.3">
      <c r="A11" s="99"/>
      <c r="B11" s="99">
        <v>45481</v>
      </c>
      <c r="C11" s="61">
        <v>2545.11</v>
      </c>
      <c r="D11" s="99"/>
      <c r="E11" s="99">
        <v>45481</v>
      </c>
      <c r="F11" s="94">
        <v>24502.15</v>
      </c>
      <c r="H11" s="99">
        <v>45481</v>
      </c>
      <c r="I11" s="94">
        <v>1278.3</v>
      </c>
      <c r="J11" s="99"/>
      <c r="K11" s="99">
        <v>45481</v>
      </c>
      <c r="L11" s="59">
        <v>640.28</v>
      </c>
      <c r="M11" s="147"/>
      <c r="N11" s="59" t="s">
        <v>336</v>
      </c>
      <c r="O11" s="94">
        <v>1003.71</v>
      </c>
      <c r="P11" s="99">
        <f>DATE(RIGHT(N11,4),MATCH(LEFT(N11,3),{"Jan","Feb","Mar","Apr","May","Jun","Jul","Aug","Sep","Oct","Nov","Dec"},0),MID(N11,5,2))</f>
        <v>46104</v>
      </c>
      <c r="R11" s="59" t="s">
        <v>336</v>
      </c>
      <c r="S11" s="59">
        <v>393.1</v>
      </c>
      <c r="T11" s="99">
        <f>DATE(RIGHT(R11,4),MATCH(LEFT(R11,3),{"Jan","Feb","Mar","Apr","May","Jun","Jul","Aug","Sep","Oct","Nov","Dec"},0),MID(R11,5,2))</f>
        <v>46104</v>
      </c>
      <c r="V11" s="59" t="s">
        <v>336</v>
      </c>
      <c r="W11" s="59">
        <v>419.6</v>
      </c>
      <c r="X11" s="99">
        <f>DATE(RIGHT(V11,4),MATCH(LEFT(V11,3),{"Jan","Feb","Mar","Apr","May","Jun","Jul","Aug","Sep","Oct","Nov","Dec"},0),MID(V11,5,2))</f>
        <v>46104</v>
      </c>
    </row>
    <row r="12" spans="1:24" x14ac:dyDescent="0.3">
      <c r="A12" s="99"/>
      <c r="B12" s="99">
        <v>45488</v>
      </c>
      <c r="C12" s="61">
        <v>2646.78</v>
      </c>
      <c r="D12" s="99"/>
      <c r="E12" s="99">
        <v>45488</v>
      </c>
      <c r="F12" s="94">
        <v>24530.9</v>
      </c>
      <c r="H12" s="99">
        <v>45488</v>
      </c>
      <c r="I12" s="94">
        <v>1272.83</v>
      </c>
      <c r="J12" s="99"/>
      <c r="K12" s="99">
        <v>45488</v>
      </c>
      <c r="L12" s="59">
        <v>658.55</v>
      </c>
      <c r="M12" s="147"/>
      <c r="N12" s="59" t="s">
        <v>337</v>
      </c>
      <c r="O12" s="94">
        <v>1012.57</v>
      </c>
      <c r="P12" s="99">
        <f>DATE(RIGHT(N12,4),MATCH(LEFT(N12,3),{"Jan","Feb","Mar","Apr","May","Jun","Jul","Aug","Sep","Oct","Nov","Dec"},0),MID(N12,5,2))</f>
        <v>46097</v>
      </c>
      <c r="R12" s="59" t="s">
        <v>337</v>
      </c>
      <c r="S12" s="59">
        <v>402.75</v>
      </c>
      <c r="T12" s="99">
        <f>DATE(RIGHT(R12,4),MATCH(LEFT(R12,3),{"Jan","Feb","Mar","Apr","May","Jun","Jul","Aug","Sep","Oct","Nov","Dec"},0),MID(R12,5,2))</f>
        <v>46097</v>
      </c>
      <c r="V12" s="59" t="s">
        <v>337</v>
      </c>
      <c r="W12" s="59">
        <v>430.7</v>
      </c>
      <c r="X12" s="99">
        <f>DATE(RIGHT(V12,4),MATCH(LEFT(V12,3),{"Jan","Feb","Mar","Apr","May","Jun","Jul","Aug","Sep","Oct","Nov","Dec"},0),MID(V12,5,2))</f>
        <v>46097</v>
      </c>
    </row>
    <row r="13" spans="1:24" x14ac:dyDescent="0.3">
      <c r="A13" s="99"/>
      <c r="B13" s="99">
        <v>45495</v>
      </c>
      <c r="C13" s="61">
        <v>2631.29</v>
      </c>
      <c r="D13" s="99"/>
      <c r="E13" s="99">
        <v>45495</v>
      </c>
      <c r="F13" s="94">
        <v>24834.85</v>
      </c>
      <c r="H13" s="99">
        <v>45495</v>
      </c>
      <c r="I13" s="94">
        <v>1218.8399999999999</v>
      </c>
      <c r="J13" s="99"/>
      <c r="K13" s="99">
        <v>45495</v>
      </c>
      <c r="L13" s="59">
        <v>669.49</v>
      </c>
      <c r="M13" s="147"/>
      <c r="N13" s="59" t="s">
        <v>338</v>
      </c>
      <c r="O13" s="94">
        <v>1022.82</v>
      </c>
      <c r="P13" s="99">
        <v>46090</v>
      </c>
      <c r="R13" s="59" t="s">
        <v>338</v>
      </c>
      <c r="S13" s="59">
        <v>416.05</v>
      </c>
      <c r="T13" s="99">
        <v>46090</v>
      </c>
      <c r="V13" s="59" t="s">
        <v>338</v>
      </c>
      <c r="W13" s="59">
        <v>453.5</v>
      </c>
      <c r="X13" s="99">
        <v>46090</v>
      </c>
    </row>
    <row r="14" spans="1:24" x14ac:dyDescent="0.3">
      <c r="A14" s="99"/>
      <c r="B14" s="99">
        <v>45502</v>
      </c>
      <c r="C14" s="61">
        <v>2613.34</v>
      </c>
      <c r="D14" s="99"/>
      <c r="E14" s="99">
        <v>45502</v>
      </c>
      <c r="F14" s="94">
        <v>24717.7</v>
      </c>
      <c r="H14" s="99">
        <v>45502</v>
      </c>
      <c r="I14" s="94">
        <v>1227.79</v>
      </c>
      <c r="J14" s="99"/>
      <c r="K14" s="99">
        <v>45509</v>
      </c>
      <c r="L14" s="59">
        <v>643.14</v>
      </c>
      <c r="M14" s="147"/>
      <c r="N14" s="59" t="s">
        <v>339</v>
      </c>
      <c r="O14" s="94">
        <v>1111.08</v>
      </c>
      <c r="P14" s="99">
        <v>46083</v>
      </c>
      <c r="R14" s="59" t="s">
        <v>339</v>
      </c>
      <c r="S14" s="59">
        <v>458.45</v>
      </c>
      <c r="T14" s="99">
        <v>46083</v>
      </c>
      <c r="V14" s="59" t="s">
        <v>339</v>
      </c>
      <c r="W14" s="59">
        <v>478.6</v>
      </c>
      <c r="X14" s="99">
        <v>46083</v>
      </c>
    </row>
    <row r="15" spans="1:24" x14ac:dyDescent="0.3">
      <c r="A15" s="99"/>
      <c r="B15" s="99">
        <v>45509</v>
      </c>
      <c r="C15" s="61">
        <v>2666.38</v>
      </c>
      <c r="D15" s="99"/>
      <c r="E15" s="99">
        <v>45509</v>
      </c>
      <c r="F15" s="94">
        <v>24367.5</v>
      </c>
      <c r="H15" s="99">
        <v>45509</v>
      </c>
      <c r="I15" s="94">
        <v>1232.52</v>
      </c>
      <c r="J15" s="99"/>
      <c r="K15" s="99">
        <v>45509</v>
      </c>
      <c r="L15" s="59">
        <v>652.4</v>
      </c>
      <c r="M15" s="147"/>
      <c r="N15" s="59" t="s">
        <v>340</v>
      </c>
      <c r="O15" s="94">
        <v>1211.48</v>
      </c>
      <c r="P15" s="99">
        <f>DATE(RIGHT(N15,4),MATCH(LEFT(N15,3),{"Jan","Feb","Mar","Apr","May","Jun","Jul","Aug","Sep","Oct","Nov","Dec"},0),MID(N15,5,2))</f>
        <v>46076</v>
      </c>
      <c r="R15" s="59" t="s">
        <v>340</v>
      </c>
      <c r="S15" s="59">
        <v>462.6</v>
      </c>
      <c r="T15" s="99">
        <f>DATE(RIGHT(R15,4),MATCH(LEFT(R15,3),{"Jan","Feb","Mar","Apr","May","Jun","Jul","Aug","Sep","Oct","Nov","Dec"},0),MID(R15,5,2))</f>
        <v>46076</v>
      </c>
      <c r="V15" s="59" t="s">
        <v>340</v>
      </c>
      <c r="W15" s="59">
        <v>518.5</v>
      </c>
      <c r="X15" s="99">
        <f>DATE(RIGHT(V15,4),MATCH(LEFT(V15,3),{"Jan","Feb","Mar","Apr","May","Jun","Jul","Aug","Sep","Oct","Nov","Dec"},0),MID(V15,5,2))</f>
        <v>46076</v>
      </c>
    </row>
    <row r="16" spans="1:24" x14ac:dyDescent="0.3">
      <c r="A16" s="99"/>
      <c r="B16" s="99">
        <v>45516</v>
      </c>
      <c r="C16" s="61">
        <v>2667.4</v>
      </c>
      <c r="D16" s="99"/>
      <c r="E16" s="99">
        <v>45516</v>
      </c>
      <c r="F16" s="94">
        <v>24541.15</v>
      </c>
      <c r="H16" s="99">
        <v>45516</v>
      </c>
      <c r="I16" s="94">
        <v>1242.73</v>
      </c>
      <c r="J16" s="99"/>
      <c r="K16" s="99">
        <v>45516</v>
      </c>
      <c r="L16" s="59">
        <v>651.07000000000005</v>
      </c>
      <c r="M16" s="147"/>
      <c r="N16" s="59" t="s">
        <v>341</v>
      </c>
      <c r="O16" s="94">
        <v>1199.94</v>
      </c>
      <c r="P16" s="99">
        <f>DATE(RIGHT(N16,4),MATCH(LEFT(N16,3),{"Jan","Feb","Mar","Apr","May","Jun","Jul","Aug","Sep","Oct","Nov","Dec"},0),MID(N16,5,2))</f>
        <v>46069</v>
      </c>
      <c r="R16" s="59" t="s">
        <v>341</v>
      </c>
      <c r="S16" s="59">
        <v>479.6</v>
      </c>
      <c r="T16" s="99">
        <f>DATE(RIGHT(R16,4),MATCH(LEFT(R16,3),{"Jan","Feb","Mar","Apr","May","Jun","Jul","Aug","Sep","Oct","Nov","Dec"},0),MID(R16,5,2))</f>
        <v>46069</v>
      </c>
      <c r="V16" s="59" t="s">
        <v>341</v>
      </c>
      <c r="W16" s="59">
        <v>509.7</v>
      </c>
      <c r="X16" s="99">
        <f>DATE(RIGHT(V16,4),MATCH(LEFT(V16,3),{"Jan","Feb","Mar","Apr","May","Jun","Jul","Aug","Sep","Oct","Nov","Dec"},0),MID(V16,5,2))</f>
        <v>46069</v>
      </c>
    </row>
    <row r="17" spans="1:24" x14ac:dyDescent="0.3">
      <c r="A17" s="99"/>
      <c r="B17" s="99">
        <v>45523</v>
      </c>
      <c r="C17" s="61">
        <v>2732.77</v>
      </c>
      <c r="D17" s="99"/>
      <c r="E17" s="99">
        <v>45523</v>
      </c>
      <c r="F17" s="94">
        <v>24823.15</v>
      </c>
      <c r="H17" s="99">
        <v>45523</v>
      </c>
      <c r="I17" s="94">
        <v>1244.57</v>
      </c>
      <c r="J17" s="99"/>
      <c r="K17" s="99">
        <v>45523</v>
      </c>
      <c r="L17" s="59">
        <v>667.96</v>
      </c>
      <c r="M17" s="147"/>
      <c r="N17" s="59" t="s">
        <v>342</v>
      </c>
      <c r="O17" s="94">
        <v>1189.49</v>
      </c>
      <c r="P17" s="99">
        <v>46062</v>
      </c>
      <c r="R17" s="59" t="s">
        <v>342</v>
      </c>
      <c r="S17" s="59">
        <v>483.8</v>
      </c>
      <c r="T17" s="99">
        <v>46062</v>
      </c>
      <c r="V17" s="59" t="s">
        <v>342</v>
      </c>
      <c r="W17" s="59">
        <v>512.45000000000005</v>
      </c>
      <c r="X17" s="99">
        <v>46062</v>
      </c>
    </row>
    <row r="18" spans="1:24" x14ac:dyDescent="0.3">
      <c r="A18" s="99"/>
      <c r="B18" s="99">
        <v>45530</v>
      </c>
      <c r="C18" s="61">
        <v>2696.28</v>
      </c>
      <c r="D18" s="99"/>
      <c r="E18" s="99">
        <v>45530</v>
      </c>
      <c r="F18" s="94">
        <v>25235.9</v>
      </c>
      <c r="H18" s="99">
        <v>45530</v>
      </c>
      <c r="I18" s="94">
        <v>1230.57</v>
      </c>
      <c r="J18" s="99"/>
      <c r="K18" s="99">
        <v>45530</v>
      </c>
      <c r="L18" s="59">
        <v>637.38</v>
      </c>
      <c r="M18" s="147"/>
      <c r="N18" s="59" t="s">
        <v>343</v>
      </c>
      <c r="O18" s="94">
        <v>1175.95</v>
      </c>
      <c r="P18" s="99">
        <v>46055</v>
      </c>
      <c r="R18" s="59" t="s">
        <v>343</v>
      </c>
      <c r="S18" s="59">
        <v>498.38</v>
      </c>
      <c r="T18" s="99">
        <v>46055</v>
      </c>
      <c r="V18" s="59" t="s">
        <v>343</v>
      </c>
      <c r="W18" s="59">
        <v>508.3</v>
      </c>
      <c r="X18" s="99">
        <v>46055</v>
      </c>
    </row>
    <row r="19" spans="1:24" x14ac:dyDescent="0.3">
      <c r="A19" s="99"/>
      <c r="B19" s="99">
        <v>45537</v>
      </c>
      <c r="C19" s="61">
        <v>2755.43</v>
      </c>
      <c r="D19" s="99"/>
      <c r="E19" s="99">
        <v>45537</v>
      </c>
      <c r="F19" s="94">
        <v>24852.15</v>
      </c>
      <c r="H19" s="99">
        <v>45537</v>
      </c>
      <c r="I19" s="94">
        <v>1231.78</v>
      </c>
      <c r="J19" s="99"/>
      <c r="K19" s="99">
        <v>45537</v>
      </c>
      <c r="L19" s="59">
        <v>655.20000000000005</v>
      </c>
      <c r="M19" s="147"/>
      <c r="N19" s="59" t="s">
        <v>344</v>
      </c>
      <c r="O19" s="94">
        <v>1150.3599999999999</v>
      </c>
      <c r="P19" s="99">
        <f>DATE(RIGHT(N19,4),MATCH(LEFT(N19,3),{"Jan","Feb","Mar","Apr","May","Jun","Jul","Aug","Sep","Oct","Nov","Dec"},0),MID(N19,5,2))</f>
        <v>46048</v>
      </c>
      <c r="R19" s="59" t="s">
        <v>344</v>
      </c>
      <c r="S19" s="59">
        <v>469.43</v>
      </c>
      <c r="T19" s="99">
        <f>DATE(RIGHT(R19,4),MATCH(LEFT(R19,3),{"Jan","Feb","Mar","Apr","May","Jun","Jul","Aug","Sep","Oct","Nov","Dec"},0),MID(R19,5,2))</f>
        <v>46048</v>
      </c>
      <c r="V19" s="59" t="s">
        <v>344</v>
      </c>
      <c r="W19" s="59">
        <v>502.1</v>
      </c>
      <c r="X19" s="99">
        <f>DATE(RIGHT(V19,4),MATCH(LEFT(V19,3),{"Jan","Feb","Mar","Apr","May","Jun","Jul","Aug","Sep","Oct","Nov","Dec"},0),MID(V19,5,2))</f>
        <v>46048</v>
      </c>
    </row>
    <row r="20" spans="1:24" x14ac:dyDescent="0.3">
      <c r="A20" s="99"/>
      <c r="B20" s="99">
        <v>45544</v>
      </c>
      <c r="C20" s="61">
        <v>2846.67</v>
      </c>
      <c r="D20" s="99"/>
      <c r="E20" s="99">
        <v>45544</v>
      </c>
      <c r="F20" s="94">
        <v>25356.5</v>
      </c>
      <c r="H20" s="99">
        <v>45544</v>
      </c>
      <c r="I20" s="94">
        <v>1245.6500000000001</v>
      </c>
      <c r="J20" s="99"/>
      <c r="K20" s="99">
        <v>45544</v>
      </c>
      <c r="L20" s="59">
        <v>671.65</v>
      </c>
      <c r="M20" s="147"/>
      <c r="N20" s="59" t="s">
        <v>345</v>
      </c>
      <c r="O20" s="94">
        <v>1228.92</v>
      </c>
      <c r="P20" s="99">
        <f>DATE(RIGHT(N20,4),MATCH(LEFT(N20,3),{"Jan","Feb","Mar","Apr","May","Jun","Jul","Aug","Sep","Oct","Nov","Dec"},0),MID(N20,5,2))</f>
        <v>46041</v>
      </c>
      <c r="R20" s="59" t="s">
        <v>345</v>
      </c>
      <c r="S20" s="59">
        <v>498.48</v>
      </c>
      <c r="T20" s="99">
        <f>DATE(RIGHT(R20,4),MATCH(LEFT(R20,3),{"Jan","Feb","Mar","Apr","May","Jun","Jul","Aug","Sep","Oct","Nov","Dec"},0),MID(R20,5,2))</f>
        <v>46041</v>
      </c>
      <c r="V20" s="59" t="s">
        <v>345</v>
      </c>
      <c r="W20" s="59">
        <v>519</v>
      </c>
      <c r="X20" s="99">
        <f>DATE(RIGHT(V20,4),MATCH(LEFT(V20,3),{"Jan","Feb","Mar","Apr","May","Jun","Jul","Aug","Sep","Oct","Nov","Dec"},0),MID(V20,5,2))</f>
        <v>46041</v>
      </c>
    </row>
    <row r="21" spans="1:24" x14ac:dyDescent="0.3">
      <c r="A21" s="99"/>
      <c r="B21" s="99">
        <v>45551</v>
      </c>
      <c r="C21" s="61">
        <v>2890</v>
      </c>
      <c r="D21" s="99"/>
      <c r="E21" s="99">
        <v>45551</v>
      </c>
      <c r="F21" s="94">
        <v>25790.95</v>
      </c>
      <c r="H21" s="99">
        <v>45551</v>
      </c>
      <c r="I21" s="94">
        <v>1328.4</v>
      </c>
      <c r="J21" s="99"/>
      <c r="K21" s="99">
        <v>45551</v>
      </c>
      <c r="L21" s="59">
        <v>698.29</v>
      </c>
      <c r="M21" s="147"/>
      <c r="N21" s="59" t="s">
        <v>346</v>
      </c>
      <c r="O21" s="94">
        <v>1225.46</v>
      </c>
      <c r="P21" s="99">
        <f>DATE(RIGHT(N21,4),MATCH(LEFT(N21,3),{"Jan","Feb","Mar","Apr","May","Jun","Jul","Aug","Sep","Oct","Nov","Dec"},0),MID(N21,5,2))</f>
        <v>46034</v>
      </c>
      <c r="R21" s="59" t="s">
        <v>346</v>
      </c>
      <c r="S21" s="59">
        <v>499.52</v>
      </c>
      <c r="T21" s="99">
        <f>DATE(RIGHT(R21,4),MATCH(LEFT(R21,3),{"Jan","Feb","Mar","Apr","May","Jun","Jul","Aug","Sep","Oct","Nov","Dec"},0),MID(R21,5,2))</f>
        <v>46034</v>
      </c>
      <c r="V21" s="59" t="s">
        <v>346</v>
      </c>
      <c r="W21" s="59">
        <v>514.54999999999995</v>
      </c>
      <c r="X21" s="99">
        <f>DATE(RIGHT(V21,4),MATCH(LEFT(V21,3),{"Jan","Feb","Mar","Apr","May","Jun","Jul","Aug","Sep","Oct","Nov","Dec"},0),MID(V21,5,2))</f>
        <v>46034</v>
      </c>
    </row>
    <row r="22" spans="1:24" x14ac:dyDescent="0.3">
      <c r="A22" s="99"/>
      <c r="B22" s="99">
        <v>45558</v>
      </c>
      <c r="C22" s="61">
        <v>2878.99</v>
      </c>
      <c r="D22" s="99"/>
      <c r="E22" s="99">
        <v>45558</v>
      </c>
      <c r="F22" s="94">
        <v>26178.95</v>
      </c>
      <c r="H22" s="99">
        <v>45558</v>
      </c>
      <c r="I22" s="94">
        <v>1351.11</v>
      </c>
      <c r="J22" s="99"/>
      <c r="K22" s="99">
        <v>45558</v>
      </c>
      <c r="L22" s="59">
        <v>681.99</v>
      </c>
      <c r="M22" s="147"/>
      <c r="N22" s="59" t="s">
        <v>347</v>
      </c>
      <c r="O22" s="94">
        <v>1218.22</v>
      </c>
      <c r="P22" s="99">
        <v>46027</v>
      </c>
      <c r="R22" s="59" t="s">
        <v>347</v>
      </c>
      <c r="S22" s="59">
        <v>501.99</v>
      </c>
      <c r="T22" s="99">
        <v>46027</v>
      </c>
      <c r="V22" s="59" t="s">
        <v>347</v>
      </c>
      <c r="W22" s="59">
        <v>522.4</v>
      </c>
      <c r="X22" s="99">
        <v>46027</v>
      </c>
    </row>
    <row r="23" spans="1:24" x14ac:dyDescent="0.3">
      <c r="A23" s="99"/>
      <c r="B23" s="99">
        <v>45565</v>
      </c>
      <c r="C23" s="61">
        <v>2764.94</v>
      </c>
      <c r="D23" s="99"/>
      <c r="E23" s="99">
        <v>45565</v>
      </c>
      <c r="F23" s="94">
        <v>25014.6</v>
      </c>
      <c r="H23" s="99">
        <v>45565</v>
      </c>
      <c r="I23" s="94">
        <v>1278.5</v>
      </c>
      <c r="J23" s="99"/>
      <c r="K23" s="99">
        <v>45565</v>
      </c>
      <c r="L23" s="59">
        <v>679.78</v>
      </c>
      <c r="M23" s="147"/>
      <c r="N23" s="59" t="s">
        <v>348</v>
      </c>
      <c r="O23" s="94">
        <v>1223.77</v>
      </c>
      <c r="P23" s="99">
        <f>DATE(RIGHT(N23,4),MATCH(LEFT(N23,3),{"Jan","Feb","Mar","Apr","May","Jun","Jul","Aug","Sep","Oct","Nov","Dec"},0),MID(N23,5,2))</f>
        <v>46020</v>
      </c>
      <c r="R23" s="59" t="s">
        <v>348</v>
      </c>
      <c r="S23" s="59">
        <v>516.36</v>
      </c>
      <c r="T23" s="99">
        <f>DATE(RIGHT(R23,4),MATCH(LEFT(R23,3),{"Jan","Feb","Mar","Apr","May","Jun","Jul","Aug","Sep","Oct","Nov","Dec"},0),MID(R23,5,2))</f>
        <v>46020</v>
      </c>
      <c r="V23" s="59" t="s">
        <v>348</v>
      </c>
      <c r="W23" s="59">
        <v>522.6</v>
      </c>
      <c r="X23" s="99">
        <f>DATE(RIGHT(V23,4),MATCH(LEFT(V23,3),{"Jan","Feb","Mar","Apr","May","Jun","Jul","Aug","Sep","Oct","Nov","Dec"},0),MID(V23,5,2))</f>
        <v>46020</v>
      </c>
    </row>
    <row r="24" spans="1:24" x14ac:dyDescent="0.3">
      <c r="A24" s="99"/>
      <c r="B24" s="99">
        <v>45572</v>
      </c>
      <c r="C24" s="61">
        <v>2701.32</v>
      </c>
      <c r="D24" s="99"/>
      <c r="E24" s="99">
        <v>45572</v>
      </c>
      <c r="F24" s="94">
        <v>24964.25</v>
      </c>
      <c r="H24" s="99">
        <v>45572</v>
      </c>
      <c r="I24" s="94">
        <v>1236.01</v>
      </c>
      <c r="J24" s="99"/>
      <c r="K24" s="99">
        <v>45572</v>
      </c>
      <c r="L24" s="59">
        <v>675.15</v>
      </c>
      <c r="M24" s="147"/>
      <c r="N24" s="59" t="s">
        <v>349</v>
      </c>
      <c r="O24" s="94">
        <v>1195.04</v>
      </c>
      <c r="P24" s="99">
        <f>DATE(RIGHT(N24,4),MATCH(LEFT(N24,3),{"Jan","Feb","Mar","Apr","May","Jun","Jul","Aug","Sep","Oct","Nov","Dec"},0),MID(N24,5,2))</f>
        <v>46013</v>
      </c>
      <c r="R24" s="59" t="s">
        <v>349</v>
      </c>
      <c r="S24" s="59">
        <v>508.61</v>
      </c>
      <c r="T24" s="99">
        <f>DATE(RIGHT(R24,4),MATCH(LEFT(R24,3),{"Jan","Feb","Mar","Apr","May","Jun","Jul","Aug","Sep","Oct","Nov","Dec"},0),MID(R24,5,2))</f>
        <v>46013</v>
      </c>
      <c r="V24" s="59" t="s">
        <v>349</v>
      </c>
      <c r="W24" s="59">
        <v>488.2</v>
      </c>
      <c r="X24" s="99">
        <f>DATE(RIGHT(V24,4),MATCH(LEFT(V24,3),{"Jan","Feb","Mar","Apr","May","Jun","Jul","Aug","Sep","Oct","Nov","Dec"},0),MID(V24,5,2))</f>
        <v>46013</v>
      </c>
    </row>
    <row r="25" spans="1:24" x14ac:dyDescent="0.3">
      <c r="A25" s="99"/>
      <c r="B25" s="99">
        <v>45579</v>
      </c>
      <c r="C25" s="61">
        <v>2637.17</v>
      </c>
      <c r="D25" s="99"/>
      <c r="E25" s="99">
        <v>45579</v>
      </c>
      <c r="F25" s="94">
        <v>24854.05</v>
      </c>
      <c r="H25" s="99">
        <v>45579</v>
      </c>
      <c r="I25" s="94">
        <v>1156.51</v>
      </c>
      <c r="J25" s="99"/>
      <c r="K25" s="99">
        <v>45579</v>
      </c>
      <c r="L25" s="59">
        <v>659.19</v>
      </c>
      <c r="M25" s="147"/>
      <c r="N25" s="59" t="s">
        <v>350</v>
      </c>
      <c r="O25" s="94">
        <v>1175.22</v>
      </c>
      <c r="P25" s="99">
        <f>DATE(RIGHT(N25,4),MATCH(LEFT(N25,3),{"Jan","Feb","Mar","Apr","May","Jun","Jul","Aug","Sep","Oct","Nov","Dec"},0),MID(N25,5,2))</f>
        <v>46006</v>
      </c>
      <c r="R25" s="59" t="s">
        <v>350</v>
      </c>
      <c r="S25" s="59">
        <v>513.1</v>
      </c>
      <c r="T25" s="99">
        <f>DATE(RIGHT(R25,4),MATCH(LEFT(R25,3),{"Jan","Feb","Mar","Apr","May","Jun","Jul","Aug","Sep","Oct","Nov","Dec"},0),MID(R25,5,2))</f>
        <v>46006</v>
      </c>
      <c r="V25" s="59" t="s">
        <v>350</v>
      </c>
      <c r="W25" s="59">
        <v>493.95</v>
      </c>
      <c r="X25" s="99">
        <f>DATE(RIGHT(V25,4),MATCH(LEFT(V25,3),{"Jan","Feb","Mar","Apr","May","Jun","Jul","Aug","Sep","Oct","Nov","Dec"},0),MID(V25,5,2))</f>
        <v>46006</v>
      </c>
    </row>
    <row r="26" spans="1:24" x14ac:dyDescent="0.3">
      <c r="A26" s="99"/>
      <c r="B26" s="99">
        <v>45586</v>
      </c>
      <c r="C26" s="61">
        <v>2453.6799999999998</v>
      </c>
      <c r="D26" s="99"/>
      <c r="E26" s="99">
        <v>45586</v>
      </c>
      <c r="F26" s="94">
        <v>24180.799999999999</v>
      </c>
      <c r="H26" s="99">
        <v>45586</v>
      </c>
      <c r="I26" s="94">
        <v>1112.45</v>
      </c>
      <c r="J26" s="99"/>
      <c r="K26" s="99">
        <v>45586</v>
      </c>
      <c r="L26" s="59">
        <v>630.42999999999995</v>
      </c>
      <c r="M26" s="147"/>
      <c r="N26" s="59" t="s">
        <v>351</v>
      </c>
      <c r="O26" s="94">
        <v>1143.1199999999999</v>
      </c>
      <c r="P26" s="99">
        <v>45999</v>
      </c>
      <c r="R26" s="59" t="s">
        <v>351</v>
      </c>
      <c r="S26" s="59">
        <v>533.16</v>
      </c>
      <c r="T26" s="99">
        <v>45999</v>
      </c>
      <c r="V26" s="59" t="s">
        <v>351</v>
      </c>
      <c r="W26" s="59">
        <v>495</v>
      </c>
      <c r="X26" s="99">
        <v>46364</v>
      </c>
    </row>
    <row r="27" spans="1:24" x14ac:dyDescent="0.3">
      <c r="A27" s="99"/>
      <c r="B27" s="99">
        <v>45593</v>
      </c>
      <c r="C27" s="61">
        <v>2462.85</v>
      </c>
      <c r="D27" s="99"/>
      <c r="E27" s="99">
        <v>45593</v>
      </c>
      <c r="F27" s="94">
        <v>24304.35</v>
      </c>
      <c r="H27" s="99">
        <v>45593</v>
      </c>
      <c r="I27" s="94">
        <v>1123.08</v>
      </c>
      <c r="J27" s="99"/>
      <c r="K27" s="99">
        <v>45593</v>
      </c>
      <c r="L27" s="59">
        <v>636.20000000000005</v>
      </c>
      <c r="M27" s="147"/>
      <c r="N27" s="59" t="s">
        <v>352</v>
      </c>
      <c r="O27" s="94">
        <v>1125.49</v>
      </c>
      <c r="P27" s="99">
        <v>45992</v>
      </c>
      <c r="R27" s="59" t="s">
        <v>352</v>
      </c>
      <c r="S27" s="59">
        <v>519.08000000000004</v>
      </c>
      <c r="T27" s="99">
        <v>45992</v>
      </c>
      <c r="V27" s="59" t="s">
        <v>352</v>
      </c>
      <c r="W27" s="59">
        <v>510.1</v>
      </c>
      <c r="X27" s="99">
        <v>46357</v>
      </c>
    </row>
    <row r="28" spans="1:24" x14ac:dyDescent="0.3">
      <c r="A28" s="99"/>
      <c r="B28" s="99">
        <v>45600</v>
      </c>
      <c r="C28" s="61">
        <v>2433.9299999999998</v>
      </c>
      <c r="D28" s="99"/>
      <c r="E28" s="99">
        <v>45600</v>
      </c>
      <c r="F28" s="94">
        <v>24148.2</v>
      </c>
      <c r="H28" s="99">
        <v>45600</v>
      </c>
      <c r="I28" s="94">
        <v>1129.6500000000001</v>
      </c>
      <c r="J28" s="99"/>
      <c r="K28" s="99">
        <v>45600</v>
      </c>
      <c r="L28" s="59">
        <v>620.34</v>
      </c>
      <c r="M28" s="147"/>
      <c r="N28" s="59" t="s">
        <v>353</v>
      </c>
      <c r="O28" s="94">
        <v>1135</v>
      </c>
      <c r="P28" s="99">
        <f>DATE(RIGHT(N28,4),MATCH(LEFT(N28,3),{"Jan","Feb","Mar","Apr","May","Jun","Jul","Aug","Sep","Oct","Nov","Dec"},0),MID(N28,5,2))</f>
        <v>45985</v>
      </c>
      <c r="R28" s="59" t="s">
        <v>353</v>
      </c>
      <c r="S28" s="59">
        <v>524.22</v>
      </c>
      <c r="T28" s="99">
        <f>DATE(RIGHT(R28,4),MATCH(LEFT(R28,3),{"Jan","Feb","Mar","Apr","May","Jun","Jul","Aug","Sep","Oct","Nov","Dec"},0),MID(R28,5,2))</f>
        <v>45985</v>
      </c>
      <c r="V28" s="59" t="s">
        <v>353</v>
      </c>
      <c r="W28" s="59">
        <v>517.4</v>
      </c>
      <c r="X28" s="99">
        <f>DATE(RIGHT(V28,4),MATCH(LEFT(V28,3),{"Jan","Feb","Mar","Apr","May","Jun","Jul","Aug","Sep","Oct","Nov","Dec"},0),MID(V28,5,2))</f>
        <v>45985</v>
      </c>
    </row>
    <row r="29" spans="1:24" x14ac:dyDescent="0.3">
      <c r="A29" s="99"/>
      <c r="B29" s="99">
        <v>45607</v>
      </c>
      <c r="C29" s="61">
        <v>2345.9</v>
      </c>
      <c r="D29" s="99"/>
      <c r="E29" s="99">
        <v>45607</v>
      </c>
      <c r="F29" s="94">
        <v>23532.7</v>
      </c>
      <c r="H29" s="99">
        <v>45607</v>
      </c>
      <c r="I29" s="94">
        <v>1074.1199999999999</v>
      </c>
      <c r="J29" s="99"/>
      <c r="K29" s="99">
        <v>45607</v>
      </c>
      <c r="L29" s="59">
        <v>583.30999999999995</v>
      </c>
      <c r="M29" s="147"/>
      <c r="N29" s="59" t="s">
        <v>354</v>
      </c>
      <c r="O29" s="94">
        <v>1114.79</v>
      </c>
      <c r="P29" s="99">
        <f>DATE(RIGHT(N29,4),MATCH(LEFT(N29,3),{"Jan","Feb","Mar","Apr","May","Jun","Jul","Aug","Sep","Oct","Nov","Dec"},0),MID(N29,5,2))</f>
        <v>45978</v>
      </c>
      <c r="R29" s="59" t="s">
        <v>354</v>
      </c>
      <c r="S29" s="59">
        <v>507.22</v>
      </c>
      <c r="T29" s="99">
        <f>DATE(RIGHT(R29,4),MATCH(LEFT(R29,3),{"Jan","Feb","Mar","Apr","May","Jun","Jul","Aug","Sep","Oct","Nov","Dec"},0),MID(R29,5,2))</f>
        <v>45978</v>
      </c>
      <c r="V29" s="59" t="s">
        <v>354</v>
      </c>
      <c r="W29" s="59">
        <v>515.65</v>
      </c>
      <c r="X29" s="99">
        <f>DATE(RIGHT(V29,4),MATCH(LEFT(V29,3),{"Jan","Feb","Mar","Apr","May","Jun","Jul","Aug","Sep","Oct","Nov","Dec"},0),MID(V29,5,2))</f>
        <v>45978</v>
      </c>
    </row>
    <row r="30" spans="1:24" x14ac:dyDescent="0.3">
      <c r="A30" s="99"/>
      <c r="B30" s="99">
        <v>45614</v>
      </c>
      <c r="C30" s="61">
        <v>2400.9299999999998</v>
      </c>
      <c r="D30" s="99"/>
      <c r="E30" s="99">
        <v>45614</v>
      </c>
      <c r="F30" s="94">
        <v>23907.25</v>
      </c>
      <c r="H30" s="99">
        <v>45614</v>
      </c>
      <c r="I30" s="94">
        <v>1105.8499999999999</v>
      </c>
      <c r="J30" s="99"/>
      <c r="K30" s="99">
        <v>45614</v>
      </c>
      <c r="L30" s="59">
        <v>590.1</v>
      </c>
      <c r="M30" s="147"/>
      <c r="N30" s="59" t="s">
        <v>355</v>
      </c>
      <c r="O30" s="94">
        <v>1135.8900000000001</v>
      </c>
      <c r="P30" s="99">
        <f>DATE(RIGHT(N30,4),MATCH(LEFT(N30,3),{"Jan","Feb","Mar","Apr","May","Jun","Jul","Aug","Sep","Oct","Nov","Dec"},0),MID(N30,5,2))</f>
        <v>45971</v>
      </c>
      <c r="R30" s="59" t="s">
        <v>355</v>
      </c>
      <c r="S30" s="59">
        <v>510.25</v>
      </c>
      <c r="T30" s="99">
        <f>DATE(RIGHT(R30,4),MATCH(LEFT(R30,3),{"Jan","Feb","Mar","Apr","May","Jun","Jul","Aug","Sep","Oct","Nov","Dec"},0),MID(R30,5,2))</f>
        <v>45971</v>
      </c>
      <c r="V30" s="59" t="s">
        <v>355</v>
      </c>
      <c r="W30" s="59">
        <v>525</v>
      </c>
      <c r="X30" s="99">
        <f>DATE(RIGHT(V30,4),MATCH(LEFT(V30,3),{"Jan","Feb","Mar","Apr","May","Jun","Jul","Aug","Sep","Oct","Nov","Dec"},0),MID(V30,5,2))</f>
        <v>45971</v>
      </c>
    </row>
    <row r="31" spans="1:24" x14ac:dyDescent="0.3">
      <c r="A31" s="99"/>
      <c r="B31" s="99">
        <v>45621</v>
      </c>
      <c r="C31" s="61">
        <v>2450.91</v>
      </c>
      <c r="D31" s="99"/>
      <c r="E31" s="99">
        <v>45621</v>
      </c>
      <c r="F31" s="94">
        <v>24131.1</v>
      </c>
      <c r="H31" s="99">
        <v>45621</v>
      </c>
      <c r="I31" s="94">
        <v>1099.6300000000001</v>
      </c>
      <c r="J31" s="99"/>
      <c r="K31" s="99">
        <v>45621</v>
      </c>
      <c r="L31" s="59">
        <v>635.21</v>
      </c>
      <c r="M31" s="147"/>
      <c r="N31" s="59" t="s">
        <v>356</v>
      </c>
      <c r="O31" s="94">
        <v>1106.57</v>
      </c>
      <c r="P31" s="99">
        <v>45964</v>
      </c>
      <c r="R31" s="59" t="s">
        <v>356</v>
      </c>
      <c r="S31" s="59">
        <v>504.12</v>
      </c>
      <c r="T31" s="99">
        <v>45964</v>
      </c>
      <c r="V31" s="59" t="s">
        <v>356</v>
      </c>
      <c r="W31" s="59">
        <v>515.92999999999995</v>
      </c>
      <c r="X31" s="99">
        <v>45964</v>
      </c>
    </row>
    <row r="32" spans="1:24" x14ac:dyDescent="0.3">
      <c r="A32" s="99"/>
      <c r="B32" s="99">
        <v>45628</v>
      </c>
      <c r="C32" s="61">
        <v>2438.7800000000002</v>
      </c>
      <c r="D32" s="99"/>
      <c r="E32" s="99">
        <v>45628</v>
      </c>
      <c r="F32" s="94">
        <v>24677.8</v>
      </c>
      <c r="H32" s="99">
        <v>45628</v>
      </c>
      <c r="I32" s="94">
        <v>1115.94</v>
      </c>
      <c r="J32" s="99"/>
      <c r="K32" s="99">
        <v>45628</v>
      </c>
      <c r="L32" s="59">
        <v>624.08000000000004</v>
      </c>
      <c r="M32" s="147"/>
      <c r="N32" s="59" t="s">
        <v>357</v>
      </c>
      <c r="O32" s="94">
        <v>1103.4100000000001</v>
      </c>
      <c r="P32" s="99">
        <f>DATE(RIGHT(N32,4),MATCH(LEFT(N32,3),{"Jan","Feb","Mar","Apr","May","Jun","Jul","Aug","Sep","Oct","Nov","Dec"},0),MID(N32,5,2))</f>
        <v>45957</v>
      </c>
      <c r="R32" s="59" t="s">
        <v>357</v>
      </c>
      <c r="S32" s="59">
        <v>524.03</v>
      </c>
      <c r="T32" s="99">
        <f>DATE(RIGHT(R32,4),MATCH(LEFT(R32,3),{"Jan","Feb","Mar","Apr","May","Jun","Jul","Aug","Sep","Oct","Nov","Dec"},0),MID(R32,5,2))</f>
        <v>45957</v>
      </c>
      <c r="V32" s="59" t="s">
        <v>357</v>
      </c>
      <c r="W32" s="59">
        <v>484.99</v>
      </c>
      <c r="X32" s="99">
        <f>DATE(RIGHT(V32,4),MATCH(LEFT(V32,3),{"Jan","Feb","Mar","Apr","May","Jun","Jul","Aug","Sep","Oct","Nov","Dec"},0),MID(V32,5,2))</f>
        <v>45957</v>
      </c>
    </row>
    <row r="33" spans="1:24" x14ac:dyDescent="0.3">
      <c r="A33" s="99"/>
      <c r="B33" s="99">
        <v>45635</v>
      </c>
      <c r="C33" s="61">
        <v>2346.7800000000002</v>
      </c>
      <c r="D33" s="99"/>
      <c r="E33" s="99">
        <v>45635</v>
      </c>
      <c r="F33" s="94">
        <v>24768.3</v>
      </c>
      <c r="H33" s="99">
        <v>45635</v>
      </c>
      <c r="I33" s="94">
        <v>1108.9100000000001</v>
      </c>
      <c r="J33" s="99"/>
      <c r="K33" s="99">
        <v>45635</v>
      </c>
      <c r="L33" s="59">
        <v>630.14</v>
      </c>
      <c r="M33" s="147"/>
      <c r="N33" s="59" t="s">
        <v>358</v>
      </c>
      <c r="O33" s="94">
        <v>1115.05</v>
      </c>
      <c r="P33" s="99">
        <f>DATE(RIGHT(N33,4),MATCH(LEFT(N33,3),{"Jan","Feb","Mar","Apr","May","Jun","Jul","Aug","Sep","Oct","Nov","Dec"},0),MID(N33,5,2))</f>
        <v>45950</v>
      </c>
      <c r="R33" s="59" t="s">
        <v>358</v>
      </c>
      <c r="S33" s="59">
        <v>534.08000000000004</v>
      </c>
      <c r="T33" s="99">
        <f>DATE(RIGHT(R33,4),MATCH(LEFT(R33,3),{"Jan","Feb","Mar","Apr","May","Jun","Jul","Aug","Sep","Oct","Nov","Dec"},0),MID(R33,5,2))</f>
        <v>45950</v>
      </c>
      <c r="V33" s="59" t="s">
        <v>358</v>
      </c>
      <c r="W33" s="59">
        <v>505.78</v>
      </c>
      <c r="X33" s="99">
        <f>DATE(RIGHT(V33,4),MATCH(LEFT(V33,3),{"Jan","Feb","Mar","Apr","May","Jun","Jul","Aug","Sep","Oct","Nov","Dec"},0),MID(V33,5,2))</f>
        <v>45950</v>
      </c>
    </row>
    <row r="34" spans="1:24" x14ac:dyDescent="0.3">
      <c r="A34" s="99"/>
      <c r="B34" s="99">
        <v>45642</v>
      </c>
      <c r="C34" s="61">
        <v>2291.6</v>
      </c>
      <c r="D34" s="99"/>
      <c r="E34" s="99">
        <v>45642</v>
      </c>
      <c r="F34" s="94">
        <v>23587.5</v>
      </c>
      <c r="H34" s="99">
        <v>45642</v>
      </c>
      <c r="I34" s="94">
        <v>1064.6199999999999</v>
      </c>
      <c r="J34" s="99"/>
      <c r="K34" s="99">
        <v>45642</v>
      </c>
      <c r="L34" s="59">
        <v>618.47</v>
      </c>
      <c r="M34" s="147"/>
      <c r="N34" s="59" t="s">
        <v>359</v>
      </c>
      <c r="O34" s="94">
        <v>1116.83</v>
      </c>
      <c r="P34" s="99">
        <f>DATE(RIGHT(N34,4),MATCH(LEFT(N34,3),{"Jan","Feb","Mar","Apr","May","Jun","Jul","Aug","Sep","Oct","Nov","Dec"},0),MID(N34,5,2))</f>
        <v>45943</v>
      </c>
      <c r="R34" s="59" t="s">
        <v>359</v>
      </c>
      <c r="S34" s="59">
        <v>540.79999999999995</v>
      </c>
      <c r="T34" s="99">
        <f>DATE(RIGHT(R34,4),MATCH(LEFT(R34,3),{"Jan","Feb","Mar","Apr","May","Jun","Jul","Aug","Sep","Oct","Nov","Dec"},0),MID(R34,5,2))</f>
        <v>45943</v>
      </c>
      <c r="V34" s="59" t="s">
        <v>359</v>
      </c>
      <c r="W34" s="59">
        <v>505.68</v>
      </c>
      <c r="X34" s="99">
        <f>DATE(RIGHT(V34,4),MATCH(LEFT(V34,3),{"Jan","Feb","Mar","Apr","May","Jun","Jul","Aug","Sep","Oct","Nov","Dec"},0),MID(V34,5,2))</f>
        <v>45943</v>
      </c>
    </row>
    <row r="35" spans="1:24" x14ac:dyDescent="0.3">
      <c r="A35" s="99"/>
      <c r="B35" s="99">
        <v>45649</v>
      </c>
      <c r="C35" s="61">
        <v>2298.81</v>
      </c>
      <c r="D35" s="99"/>
      <c r="E35" s="99">
        <v>45649</v>
      </c>
      <c r="F35" s="94">
        <v>23813.4</v>
      </c>
      <c r="H35" s="99">
        <v>45649</v>
      </c>
      <c r="I35" s="94">
        <v>1065.6500000000001</v>
      </c>
      <c r="J35" s="99"/>
      <c r="K35" s="99">
        <v>45649</v>
      </c>
      <c r="L35" s="59">
        <v>623.04999999999995</v>
      </c>
      <c r="M35" s="147"/>
      <c r="N35" s="59" t="s">
        <v>360</v>
      </c>
      <c r="O35" s="94">
        <v>1114.46</v>
      </c>
      <c r="P35" s="99">
        <v>45936</v>
      </c>
      <c r="R35" s="59" t="s">
        <v>360</v>
      </c>
      <c r="S35" s="59">
        <v>531.87</v>
      </c>
      <c r="T35" s="99">
        <v>45936</v>
      </c>
      <c r="V35" s="59" t="s">
        <v>360</v>
      </c>
      <c r="W35" s="59">
        <v>487.13</v>
      </c>
      <c r="X35" s="99">
        <v>45936</v>
      </c>
    </row>
    <row r="36" spans="1:24" x14ac:dyDescent="0.3">
      <c r="A36" s="99"/>
      <c r="B36" s="99">
        <v>45656</v>
      </c>
      <c r="C36" s="61">
        <v>2362.64</v>
      </c>
      <c r="D36" s="99"/>
      <c r="E36" s="99">
        <v>45656</v>
      </c>
      <c r="F36" s="94">
        <v>24004.75</v>
      </c>
      <c r="H36" s="99">
        <v>45656</v>
      </c>
      <c r="I36" s="94">
        <v>1098.67</v>
      </c>
      <c r="J36" s="99"/>
      <c r="K36" s="99">
        <v>45656</v>
      </c>
      <c r="L36" s="59">
        <v>650.97</v>
      </c>
      <c r="M36" s="147"/>
      <c r="N36" s="59" t="s">
        <v>361</v>
      </c>
      <c r="O36" s="94">
        <v>1133.4000000000001</v>
      </c>
      <c r="P36" s="99">
        <f>DATE(RIGHT(N36,4),MATCH(LEFT(N36,3),{"Jan","Feb","Mar","Apr","May","Jun","Jul","Aug","Sep","Oct","Nov","Dec"},0),MID(N36,5,2))</f>
        <v>45929</v>
      </c>
      <c r="R36" s="59" t="s">
        <v>361</v>
      </c>
      <c r="S36" s="59">
        <v>539.87</v>
      </c>
      <c r="T36" s="99">
        <f>DATE(RIGHT(R36,4),MATCH(LEFT(R36,3),{"Jan","Feb","Mar","Apr","May","Jun","Jul","Aug","Sep","Oct","Nov","Dec"},0),MID(R36,5,2))</f>
        <v>45929</v>
      </c>
      <c r="V36" s="59" t="s">
        <v>361</v>
      </c>
      <c r="W36" s="59">
        <v>493.54</v>
      </c>
      <c r="X36" s="99">
        <f>DATE(RIGHT(V36,4),MATCH(LEFT(V36,3),{"Jan","Feb","Mar","Apr","May","Jun","Jul","Aug","Sep","Oct","Nov","Dec"},0),MID(V36,5,2))</f>
        <v>45929</v>
      </c>
    </row>
    <row r="37" spans="1:24" x14ac:dyDescent="0.3">
      <c r="A37" s="99"/>
      <c r="B37" s="99">
        <v>45663</v>
      </c>
      <c r="C37" s="61">
        <v>2397.79</v>
      </c>
      <c r="D37" s="99"/>
      <c r="E37" s="99">
        <v>45663</v>
      </c>
      <c r="F37" s="94">
        <v>23431.5</v>
      </c>
      <c r="H37" s="99">
        <v>45663</v>
      </c>
      <c r="I37" s="94">
        <v>1106.1500000000001</v>
      </c>
      <c r="J37" s="99"/>
      <c r="K37" s="99">
        <v>45663</v>
      </c>
      <c r="L37" s="59">
        <v>663.72</v>
      </c>
      <c r="M37" s="147"/>
      <c r="N37" s="59" t="s">
        <v>362</v>
      </c>
      <c r="O37" s="94">
        <v>1148.0999999999999</v>
      </c>
      <c r="P37" s="99">
        <f>DATE(RIGHT(N37,4),MATCH(LEFT(N37,3),{"Jan","Feb","Mar","Apr","May","Jun","Jul","Aug","Sep","Oct","Nov","Dec"},0),MID(N37,5,2))</f>
        <v>45922</v>
      </c>
      <c r="R37" s="59" t="s">
        <v>362</v>
      </c>
      <c r="S37" s="59">
        <v>547.02</v>
      </c>
      <c r="T37" s="99">
        <f>DATE(RIGHT(R37,4),MATCH(LEFT(R37,3),{"Jan","Feb","Mar","Apr","May","Jun","Jul","Aug","Sep","Oct","Nov","Dec"},0),MID(R37,5,2))</f>
        <v>45922</v>
      </c>
      <c r="V37" s="59" t="s">
        <v>362</v>
      </c>
      <c r="W37" s="59">
        <v>497.13</v>
      </c>
      <c r="X37" s="99">
        <f>DATE(RIGHT(V37,4),MATCH(LEFT(V37,3),{"Jan","Feb","Mar","Apr","May","Jun","Jul","Aug","Sep","Oct","Nov","Dec"},0),MID(V37,5,2))</f>
        <v>45922</v>
      </c>
    </row>
    <row r="38" spans="1:24" x14ac:dyDescent="0.3">
      <c r="A38" s="99"/>
      <c r="B38" s="99">
        <v>45670</v>
      </c>
      <c r="C38" s="61">
        <v>2311.33</v>
      </c>
      <c r="D38" s="99"/>
      <c r="E38" s="99">
        <v>45670</v>
      </c>
      <c r="F38" s="94">
        <v>23203.200000000001</v>
      </c>
      <c r="H38" s="99">
        <v>45670</v>
      </c>
      <c r="I38" s="94">
        <v>1091.04</v>
      </c>
      <c r="J38" s="99"/>
      <c r="K38" s="99">
        <v>45670</v>
      </c>
      <c r="L38" s="59">
        <v>654.37</v>
      </c>
      <c r="M38" s="147"/>
      <c r="N38" s="59" t="s">
        <v>363</v>
      </c>
      <c r="O38" s="94">
        <v>1222.08</v>
      </c>
      <c r="P38" s="99">
        <f>DATE(RIGHT(N38,4),MATCH(LEFT(N38,3),{"Jan","Feb","Mar","Apr","May","Jun","Jul","Aug","Sep","Oct","Nov","Dec"},0),MID(N38,5,2))</f>
        <v>45915</v>
      </c>
      <c r="R38" s="59" t="s">
        <v>363</v>
      </c>
      <c r="S38" s="59">
        <v>568.35</v>
      </c>
      <c r="T38" s="99">
        <f>DATE(RIGHT(R38,4),MATCH(LEFT(R38,3),{"Jan","Feb","Mar","Apr","May","Jun","Jul","Aug","Sep","Oct","Nov","Dec"},0),MID(R38,5,2))</f>
        <v>45915</v>
      </c>
      <c r="V38" s="59" t="s">
        <v>363</v>
      </c>
      <c r="W38" s="59">
        <v>532.64</v>
      </c>
      <c r="X38" s="99">
        <f>DATE(RIGHT(V38,4),MATCH(LEFT(V38,3),{"Jan","Feb","Mar","Apr","May","Jun","Jul","Aug","Sep","Oct","Nov","Dec"},0),MID(V38,5,2))</f>
        <v>45915</v>
      </c>
    </row>
    <row r="39" spans="1:24" x14ac:dyDescent="0.3">
      <c r="A39" s="99"/>
      <c r="B39" s="99">
        <v>45677</v>
      </c>
      <c r="C39" s="61">
        <v>2325.1799999999998</v>
      </c>
      <c r="D39" s="99"/>
      <c r="E39" s="99">
        <v>45677</v>
      </c>
      <c r="F39" s="94">
        <v>23092.2</v>
      </c>
      <c r="H39" s="99">
        <v>45677</v>
      </c>
      <c r="I39" s="94">
        <v>1086.47</v>
      </c>
      <c r="J39" s="99"/>
      <c r="K39" s="99">
        <v>45677</v>
      </c>
      <c r="L39" s="59">
        <v>656.14</v>
      </c>
      <c r="M39" s="147"/>
      <c r="N39" s="59" t="s">
        <v>364</v>
      </c>
      <c r="O39" s="94">
        <v>1232.73</v>
      </c>
      <c r="P39" s="99">
        <v>45908</v>
      </c>
      <c r="R39" s="59" t="s">
        <v>364</v>
      </c>
      <c r="S39" s="59">
        <v>590.27</v>
      </c>
      <c r="T39" s="99">
        <v>45908</v>
      </c>
      <c r="V39" s="59" t="s">
        <v>364</v>
      </c>
      <c r="W39" s="59">
        <v>536.02</v>
      </c>
      <c r="X39" s="99">
        <v>45908</v>
      </c>
    </row>
    <row r="40" spans="1:24" x14ac:dyDescent="0.3">
      <c r="A40" s="99"/>
      <c r="B40" s="99">
        <v>45684</v>
      </c>
      <c r="C40" s="61">
        <v>2460.63</v>
      </c>
      <c r="D40" s="99"/>
      <c r="E40" s="99">
        <v>45684</v>
      </c>
      <c r="F40" s="94">
        <v>23482.15</v>
      </c>
      <c r="H40" s="99">
        <v>45684</v>
      </c>
      <c r="I40" s="94">
        <v>1145.17</v>
      </c>
      <c r="J40" s="99"/>
      <c r="K40" s="99">
        <v>45684</v>
      </c>
      <c r="L40" s="59">
        <v>683.72</v>
      </c>
      <c r="M40" s="147"/>
      <c r="N40" s="59" t="s">
        <v>365</v>
      </c>
      <c r="O40" s="94">
        <v>1214.78</v>
      </c>
      <c r="P40" s="99">
        <v>45901</v>
      </c>
      <c r="R40" s="59" t="s">
        <v>365</v>
      </c>
      <c r="S40" s="59">
        <v>593.21</v>
      </c>
      <c r="T40" s="99">
        <v>45901</v>
      </c>
      <c r="V40" s="59" t="s">
        <v>365</v>
      </c>
      <c r="W40" s="59">
        <v>543.83000000000004</v>
      </c>
      <c r="X40" s="99">
        <v>45901</v>
      </c>
    </row>
    <row r="41" spans="1:24" x14ac:dyDescent="0.3">
      <c r="A41" s="99"/>
      <c r="B41" s="99">
        <v>45691</v>
      </c>
      <c r="C41" s="61">
        <v>2321</v>
      </c>
      <c r="D41" s="99"/>
      <c r="E41" s="99">
        <v>45691</v>
      </c>
      <c r="F41" s="94">
        <v>23559.95</v>
      </c>
      <c r="H41" s="99">
        <v>45691</v>
      </c>
      <c r="I41" s="94">
        <v>1094.93</v>
      </c>
      <c r="J41" s="99"/>
      <c r="K41" s="99">
        <v>45691</v>
      </c>
      <c r="L41" s="59">
        <v>639.45000000000005</v>
      </c>
      <c r="M41" s="147"/>
      <c r="N41" s="59" t="s">
        <v>366</v>
      </c>
      <c r="O41" s="94">
        <v>1225.73</v>
      </c>
      <c r="P41" s="99">
        <f>DATE(RIGHT(N41,4),MATCH(LEFT(N41,3),{"Jan","Feb","Mar","Apr","May","Jun","Jul","Aug","Sep","Oct","Nov","Dec"},0),MID(N41,5,2))</f>
        <v>45894</v>
      </c>
      <c r="R41" s="59" t="s">
        <v>366</v>
      </c>
      <c r="S41" s="59">
        <v>562.47</v>
      </c>
      <c r="T41" s="99">
        <f>DATE(RIGHT(R41,4),MATCH(LEFT(R41,3),{"Jan","Feb","Mar","Apr","May","Jun","Jul","Aug","Sep","Oct","Nov","Dec"},0),MID(R41,5,2))</f>
        <v>45894</v>
      </c>
      <c r="V41" s="59" t="s">
        <v>366</v>
      </c>
      <c r="W41" s="59">
        <v>518.36</v>
      </c>
      <c r="X41" s="99">
        <f>DATE(RIGHT(V41,4),MATCH(LEFT(V41,3),{"Jan","Feb","Mar","Apr","May","Jun","Jul","Aug","Sep","Oct","Nov","Dec"},0),MID(V41,5,2))</f>
        <v>45894</v>
      </c>
    </row>
    <row r="42" spans="1:24" x14ac:dyDescent="0.3">
      <c r="A42" s="99"/>
      <c r="B42" s="99">
        <v>45698</v>
      </c>
      <c r="C42" s="61">
        <v>2276.33</v>
      </c>
      <c r="D42" s="99"/>
      <c r="E42" s="99">
        <v>45698</v>
      </c>
      <c r="F42" s="94">
        <v>22929.25</v>
      </c>
      <c r="H42" s="99">
        <v>45698</v>
      </c>
      <c r="I42" s="94">
        <v>1087.46</v>
      </c>
      <c r="J42" s="99"/>
      <c r="K42" s="99">
        <v>45698</v>
      </c>
      <c r="L42" s="59">
        <v>627.5</v>
      </c>
      <c r="M42" s="147"/>
      <c r="N42" s="59" t="s">
        <v>367</v>
      </c>
      <c r="O42" s="94">
        <v>1240.1300000000001</v>
      </c>
      <c r="P42" s="99">
        <f>DATE(RIGHT(N42,4),MATCH(LEFT(N42,3),{"Jan","Feb","Mar","Apr","May","Jun","Jul","Aug","Sep","Oct","Nov","Dec"},0),MID(N42,5,2))</f>
        <v>45887</v>
      </c>
      <c r="R42" s="59" t="s">
        <v>367</v>
      </c>
      <c r="S42" s="59">
        <v>600.07000000000005</v>
      </c>
      <c r="T42" s="99">
        <f>DATE(RIGHT(R42,4),MATCH(LEFT(R42,3),{"Jan","Feb","Mar","Apr","May","Jun","Jul","Aug","Sep","Oct","Nov","Dec"},0),MID(R42,5,2))</f>
        <v>45887</v>
      </c>
      <c r="V42" s="59" t="s">
        <v>367</v>
      </c>
      <c r="W42" s="59">
        <v>513.24</v>
      </c>
      <c r="X42" s="99">
        <f>DATE(RIGHT(V42,4),MATCH(LEFT(V42,3),{"Jan","Feb","Mar","Apr","May","Jun","Jul","Aug","Sep","Oct","Nov","Dec"},0),MID(V42,5,2))</f>
        <v>45887</v>
      </c>
    </row>
    <row r="43" spans="1:24" x14ac:dyDescent="0.3">
      <c r="A43" s="99"/>
      <c r="B43" s="99">
        <v>45705</v>
      </c>
      <c r="C43" s="61">
        <v>2201.02</v>
      </c>
      <c r="D43" s="99"/>
      <c r="E43" s="99">
        <v>45705</v>
      </c>
      <c r="F43" s="94">
        <v>22795.9</v>
      </c>
      <c r="H43" s="99">
        <v>45705</v>
      </c>
      <c r="I43" s="94">
        <v>1096.92</v>
      </c>
      <c r="J43" s="99"/>
      <c r="K43" s="99">
        <v>45705</v>
      </c>
      <c r="L43" s="59">
        <v>618.64</v>
      </c>
      <c r="M43" s="147"/>
      <c r="N43" s="59" t="s">
        <v>368</v>
      </c>
      <c r="O43" s="94">
        <v>1163.95</v>
      </c>
      <c r="P43" s="99">
        <f>DATE(RIGHT(N43,4),MATCH(LEFT(N43,3),{"Jan","Feb","Mar","Apr","May","Jun","Jul","Aug","Sep","Oct","Nov","Dec"},0),MID(N43,5,2))</f>
        <v>45880</v>
      </c>
      <c r="R43" s="59" t="s">
        <v>368</v>
      </c>
      <c r="S43" s="59">
        <v>571.04999999999995</v>
      </c>
      <c r="T43" s="99">
        <f>DATE(RIGHT(R43,4),MATCH(LEFT(R43,3),{"Jan","Feb","Mar","Apr","May","Jun","Jul","Aug","Sep","Oct","Nov","Dec"},0),MID(R43,5,2))</f>
        <v>45880</v>
      </c>
      <c r="V43" s="59" t="s">
        <v>368</v>
      </c>
      <c r="W43" s="59">
        <v>498.27</v>
      </c>
      <c r="X43" s="99">
        <f>DATE(RIGHT(V43,4),MATCH(LEFT(V43,3),{"Jan","Feb","Mar","Apr","May","Jun","Jul","Aug","Sep","Oct","Nov","Dec"},0),MID(V43,5,2))</f>
        <v>45880</v>
      </c>
    </row>
    <row r="44" spans="1:24" x14ac:dyDescent="0.3">
      <c r="A44" s="99"/>
      <c r="B44" s="99">
        <v>45712</v>
      </c>
      <c r="C44" s="61">
        <v>2150.5500000000002</v>
      </c>
      <c r="D44" s="99"/>
      <c r="E44" s="99">
        <v>45712</v>
      </c>
      <c r="F44" s="94">
        <v>22124.7</v>
      </c>
      <c r="H44" s="99">
        <v>45712</v>
      </c>
      <c r="I44" s="94">
        <v>1084.3900000000001</v>
      </c>
      <c r="J44" s="99"/>
      <c r="K44" s="99">
        <v>45712</v>
      </c>
      <c r="L44" s="59">
        <v>594.67999999999995</v>
      </c>
      <c r="M44" s="148"/>
      <c r="N44" s="59" t="s">
        <v>369</v>
      </c>
      <c r="O44" s="94">
        <v>1165.1300000000001</v>
      </c>
      <c r="P44" s="99">
        <v>45873</v>
      </c>
      <c r="R44" s="59" t="s">
        <v>369</v>
      </c>
      <c r="S44" s="59">
        <v>564.91999999999996</v>
      </c>
      <c r="T44" s="99">
        <v>45873</v>
      </c>
      <c r="V44" s="59" t="s">
        <v>369</v>
      </c>
      <c r="W44" s="59">
        <v>504.59</v>
      </c>
      <c r="X44" s="99">
        <v>45873</v>
      </c>
    </row>
    <row r="45" spans="1:24" x14ac:dyDescent="0.3">
      <c r="A45" s="99"/>
      <c r="B45" s="99">
        <v>45719</v>
      </c>
      <c r="C45" s="61">
        <v>2164.59</v>
      </c>
      <c r="D45" s="99"/>
      <c r="E45" s="99">
        <v>45719</v>
      </c>
      <c r="F45" s="94">
        <v>22552.5</v>
      </c>
      <c r="H45" s="99">
        <v>45719</v>
      </c>
      <c r="I45" s="94">
        <v>1108.55</v>
      </c>
      <c r="J45" s="99"/>
      <c r="K45" s="99">
        <v>45719</v>
      </c>
      <c r="L45" s="59">
        <v>603.64</v>
      </c>
      <c r="M45" s="147"/>
      <c r="N45" s="59" t="s">
        <v>370</v>
      </c>
      <c r="O45" s="94">
        <v>1244.0999999999999</v>
      </c>
      <c r="P45" s="99">
        <f>DATE(RIGHT(N45,4),MATCH(LEFT(N45,3),{"Jan","Feb","Mar","Apr","May","Jun","Jul","Aug","Sep","Oct","Nov","Dec"},0),MID(N45,5,2))</f>
        <v>45866</v>
      </c>
      <c r="R45" s="59" t="s">
        <v>370</v>
      </c>
      <c r="S45" s="59">
        <v>607.28</v>
      </c>
      <c r="T45" s="99">
        <f>DATE(RIGHT(R45,4),MATCH(LEFT(R45,3),{"Jan","Feb","Mar","Apr","May","Jun","Jul","Aug","Sep","Oct","Nov","Dec"},0),MID(R45,5,2))</f>
        <v>45866</v>
      </c>
      <c r="V45" s="59" t="s">
        <v>370</v>
      </c>
      <c r="W45" s="59">
        <v>531.54</v>
      </c>
      <c r="X45" s="99">
        <f>DATE(RIGHT(V45,4),MATCH(LEFT(V45,3),{"Jan","Feb","Mar","Apr","May","Jun","Jul","Aug","Sep","Oct","Nov","Dec"},0),MID(V45,5,2))</f>
        <v>45866</v>
      </c>
    </row>
    <row r="46" spans="1:24" x14ac:dyDescent="0.3">
      <c r="A46" s="99"/>
      <c r="B46" s="99">
        <v>45726</v>
      </c>
      <c r="C46" s="61">
        <v>2135.38</v>
      </c>
      <c r="D46" s="99"/>
      <c r="E46" s="99">
        <v>45726</v>
      </c>
      <c r="F46" s="94">
        <v>22397.200000000001</v>
      </c>
      <c r="H46" s="99">
        <v>45726</v>
      </c>
      <c r="I46" s="94">
        <v>1085.53</v>
      </c>
      <c r="J46" s="99"/>
      <c r="K46" s="99">
        <v>45726</v>
      </c>
      <c r="L46" s="59">
        <v>600.32000000000005</v>
      </c>
      <c r="M46" s="147"/>
      <c r="N46" s="59" t="s">
        <v>371</v>
      </c>
      <c r="O46" s="94">
        <v>1195.58</v>
      </c>
      <c r="P46" s="99">
        <f>DATE(RIGHT(N46,4),MATCH(LEFT(N46,3),{"Jan","Feb","Mar","Apr","May","Jun","Jul","Aug","Sep","Oct","Nov","Dec"},0),MID(N46,5,2))</f>
        <v>45859</v>
      </c>
      <c r="R46" s="59" t="s">
        <v>371</v>
      </c>
      <c r="S46" s="59">
        <v>564.04</v>
      </c>
      <c r="T46" s="99">
        <f>DATE(RIGHT(R46,4),MATCH(LEFT(R46,3),{"Jan","Feb","Mar","Apr","May","Jun","Jul","Aug","Sep","Oct","Nov","Dec"},0),MID(R46,5,2))</f>
        <v>45859</v>
      </c>
      <c r="V46" s="59" t="s">
        <v>371</v>
      </c>
      <c r="W46" s="59">
        <v>508.66</v>
      </c>
      <c r="X46" s="99">
        <f>DATE(RIGHT(V46,4),MATCH(LEFT(V46,3),{"Jan","Feb","Mar","Apr","May","Jun","Jul","Aug","Sep","Oct","Nov","Dec"},0),MID(V46,5,2))</f>
        <v>45859</v>
      </c>
    </row>
    <row r="47" spans="1:24" x14ac:dyDescent="0.3">
      <c r="A47" s="99"/>
      <c r="B47" s="99">
        <v>45733</v>
      </c>
      <c r="C47" s="61">
        <v>2205.4899999999998</v>
      </c>
      <c r="D47" s="99"/>
      <c r="E47" s="99">
        <v>45733</v>
      </c>
      <c r="F47" s="94">
        <v>23350.400000000001</v>
      </c>
      <c r="H47" s="99">
        <v>45733</v>
      </c>
      <c r="I47" s="94">
        <v>1123.6099999999999</v>
      </c>
      <c r="J47" s="99"/>
      <c r="K47" s="99">
        <v>45733</v>
      </c>
      <c r="L47" s="59">
        <v>624.58000000000004</v>
      </c>
      <c r="M47" s="147"/>
      <c r="N47" s="59" t="s">
        <v>372</v>
      </c>
      <c r="O47" s="94">
        <v>1229.17</v>
      </c>
      <c r="P47" s="99">
        <f>DATE(RIGHT(N47,4),MATCH(LEFT(N47,3),{"Jan","Feb","Mar","Apr","May","Jun","Jul","Aug","Sep","Oct","Nov","Dec"},0),MID(N47,5,2))</f>
        <v>45852</v>
      </c>
      <c r="R47" s="59" t="s">
        <v>372</v>
      </c>
      <c r="S47" s="59">
        <v>580.16999999999996</v>
      </c>
      <c r="T47" s="99">
        <f>DATE(RIGHT(R47,4),MATCH(LEFT(R47,3),{"Jan","Feb","Mar","Apr","May","Jun","Jul","Aug","Sep","Oct","Nov","Dec"},0),MID(R47,5,2))</f>
        <v>45852</v>
      </c>
      <c r="V47" s="59" t="s">
        <v>372</v>
      </c>
      <c r="W47" s="59">
        <v>514.69000000000005</v>
      </c>
      <c r="X47" s="99">
        <f>DATE(RIGHT(V47,4),MATCH(LEFT(V47,3),{"Jan","Feb","Mar","Apr","May","Jun","Jul","Aug","Sep","Oct","Nov","Dec"},0),MID(V47,5,2))</f>
        <v>45852</v>
      </c>
    </row>
    <row r="48" spans="1:24" x14ac:dyDescent="0.3">
      <c r="A48" s="99"/>
      <c r="B48" s="99">
        <v>45740</v>
      </c>
      <c r="C48" s="61">
        <v>2217.91</v>
      </c>
      <c r="D48" s="99"/>
      <c r="E48" s="99">
        <v>45740</v>
      </c>
      <c r="F48" s="94">
        <v>23519.35</v>
      </c>
      <c r="H48" s="99">
        <v>45740</v>
      </c>
      <c r="I48" s="94">
        <v>1114.6500000000001</v>
      </c>
      <c r="J48" s="99"/>
      <c r="K48" s="99">
        <v>45740</v>
      </c>
      <c r="L48" s="59">
        <v>645.22</v>
      </c>
      <c r="M48" s="147"/>
      <c r="N48" s="59" t="s">
        <v>373</v>
      </c>
      <c r="O48" s="94">
        <v>1262.28</v>
      </c>
      <c r="P48" s="146">
        <v>45845</v>
      </c>
      <c r="R48" s="59" t="s">
        <v>373</v>
      </c>
      <c r="S48" s="59">
        <v>575.61</v>
      </c>
      <c r="T48" s="146">
        <v>45845</v>
      </c>
      <c r="V48" s="59" t="s">
        <v>373</v>
      </c>
      <c r="W48" s="59">
        <v>522.82000000000005</v>
      </c>
      <c r="X48" s="99">
        <v>45845</v>
      </c>
    </row>
    <row r="49" spans="1:24" x14ac:dyDescent="0.3">
      <c r="A49" s="99"/>
      <c r="B49" s="99">
        <v>45747</v>
      </c>
      <c r="C49" s="61">
        <v>2203.87</v>
      </c>
      <c r="D49" s="99"/>
      <c r="E49" s="99">
        <v>45747</v>
      </c>
      <c r="F49" s="94">
        <v>22904.45</v>
      </c>
      <c r="H49" s="99">
        <v>45747</v>
      </c>
      <c r="I49" s="94">
        <v>1120.29</v>
      </c>
      <c r="J49" s="99"/>
      <c r="K49" s="99">
        <v>45747</v>
      </c>
      <c r="L49" s="59">
        <v>670.62</v>
      </c>
      <c r="M49" s="147"/>
      <c r="N49" s="59" t="s">
        <v>374</v>
      </c>
      <c r="O49" s="94">
        <v>1171.81</v>
      </c>
      <c r="P49" s="99">
        <f>DATE(RIGHT(N49,4),MATCH(LEFT(N49,3),{"Jan","Feb","Mar","Apr","May","Jun","Jul","Aug","Sep","Oct","Nov","Dec"},0),MID(N49,5,2))</f>
        <v>45838</v>
      </c>
      <c r="R49" s="59" t="s">
        <v>374</v>
      </c>
      <c r="S49" s="59">
        <v>551.63</v>
      </c>
      <c r="T49" s="99">
        <f>DATE(RIGHT(R49,4),MATCH(LEFT(R49,3),{"Jan","Feb","Mar","Apr","May","Jun","Jul","Aug","Sep","Oct","Nov","Dec"},0),MID(R49,5,2))</f>
        <v>45838</v>
      </c>
      <c r="V49" s="59" t="s">
        <v>374</v>
      </c>
      <c r="W49" s="59">
        <v>487.61</v>
      </c>
      <c r="X49" s="99">
        <f>DATE(RIGHT(V49,4),MATCH(LEFT(V49,3),{"Jan","Feb","Mar","Apr","May","Jun","Jul","Aug","Sep","Oct","Nov","Dec"},0),MID(V49,5,2))</f>
        <v>45838</v>
      </c>
    </row>
    <row r="50" spans="1:24" x14ac:dyDescent="0.3">
      <c r="A50" s="99"/>
      <c r="B50" s="99">
        <v>45754</v>
      </c>
      <c r="C50" s="61">
        <v>2323.2600000000002</v>
      </c>
      <c r="D50" s="99"/>
      <c r="E50" s="99">
        <v>45754</v>
      </c>
      <c r="F50" s="94">
        <v>22828.55</v>
      </c>
      <c r="H50" s="99">
        <v>45754</v>
      </c>
      <c r="I50" s="94">
        <v>1169.44</v>
      </c>
      <c r="J50" s="99"/>
      <c r="K50" s="99">
        <v>45754</v>
      </c>
      <c r="L50" s="59">
        <v>702.95</v>
      </c>
      <c r="M50" s="147"/>
      <c r="N50" s="59" t="s">
        <v>375</v>
      </c>
      <c r="O50" s="94">
        <v>1155.5999999999999</v>
      </c>
      <c r="P50" s="99">
        <f>DATE(RIGHT(N50,4),MATCH(LEFT(N50,3),{"Jan","Feb","Mar","Apr","May","Jun","Jul","Aug","Sep","Oct","Nov","Dec"},0),MID(N50,5,2))</f>
        <v>45831</v>
      </c>
      <c r="R50" s="59" t="s">
        <v>375</v>
      </c>
      <c r="S50" s="59">
        <v>556.19000000000005</v>
      </c>
      <c r="T50" s="99">
        <f>DATE(RIGHT(R50,4),MATCH(LEFT(R50,3),{"Jan","Feb","Mar","Apr","May","Jun","Jul","Aug","Sep","Oct","Nov","Dec"},0),MID(R50,5,2))</f>
        <v>45831</v>
      </c>
      <c r="V50" s="59" t="s">
        <v>375</v>
      </c>
      <c r="W50" s="59">
        <v>478.99</v>
      </c>
      <c r="X50" s="99">
        <f>DATE(RIGHT(V50,4),MATCH(LEFT(V50,3),{"Jan","Feb","Mar","Apr","May","Jun","Jul","Aug","Sep","Oct","Nov","Dec"},0),MID(V50,5,2))</f>
        <v>45831</v>
      </c>
    </row>
    <row r="51" spans="1:24" x14ac:dyDescent="0.3">
      <c r="A51" s="99"/>
      <c r="B51" s="99">
        <v>45761</v>
      </c>
      <c r="C51" s="61">
        <v>2331.9499999999998</v>
      </c>
      <c r="D51" s="99"/>
      <c r="E51" s="99">
        <v>45761</v>
      </c>
      <c r="F51" s="94">
        <v>23851.65</v>
      </c>
      <c r="H51" s="99">
        <v>45761</v>
      </c>
      <c r="I51" s="94">
        <v>1196.78</v>
      </c>
      <c r="J51" s="99"/>
      <c r="K51" s="99">
        <v>45761</v>
      </c>
      <c r="L51" s="59">
        <v>707.75</v>
      </c>
      <c r="M51" s="147"/>
      <c r="N51" s="59" t="s">
        <v>376</v>
      </c>
      <c r="O51" s="94">
        <v>1168.3699999999999</v>
      </c>
      <c r="P51" s="99">
        <f>DATE(RIGHT(N51,4),MATCH(LEFT(N51,3),{"Jan","Feb","Mar","Apr","May","Jun","Jul","Aug","Sep","Oct","Nov","Dec"},0),MID(N51,5,2))</f>
        <v>45824</v>
      </c>
      <c r="R51" s="59" t="s">
        <v>376</v>
      </c>
      <c r="S51" s="59">
        <v>542.32000000000005</v>
      </c>
      <c r="T51" s="99">
        <f>DATE(RIGHT(R51,4),MATCH(LEFT(R51,3),{"Jan","Feb","Mar","Apr","May","Jun","Jul","Aug","Sep","Oct","Nov","Dec"},0),MID(R51,5,2))</f>
        <v>45824</v>
      </c>
      <c r="V51" s="59" t="s">
        <v>376</v>
      </c>
      <c r="W51" s="59">
        <v>459.84</v>
      </c>
      <c r="X51" s="99">
        <f>DATE(RIGHT(V51,4),MATCH(LEFT(V51,3),{"Jan","Feb","Mar","Apr","May","Jun","Jul","Aug","Sep","Oct","Nov","Dec"},0),MID(V51,5,2))</f>
        <v>45824</v>
      </c>
    </row>
    <row r="52" spans="1:24" x14ac:dyDescent="0.3">
      <c r="A52" s="99"/>
      <c r="B52" s="99">
        <v>45768</v>
      </c>
      <c r="C52" s="61">
        <v>2289.9299999999998</v>
      </c>
      <c r="D52" s="99"/>
      <c r="E52" s="99">
        <v>45768</v>
      </c>
      <c r="F52" s="94">
        <v>24039.35</v>
      </c>
      <c r="H52" s="99">
        <v>45768</v>
      </c>
      <c r="I52" s="94">
        <v>1195.24</v>
      </c>
      <c r="J52" s="99"/>
      <c r="K52" s="99">
        <v>45768</v>
      </c>
      <c r="L52" s="59">
        <v>703.39</v>
      </c>
      <c r="M52" s="147"/>
      <c r="N52" s="59" t="s">
        <v>377</v>
      </c>
      <c r="O52" s="94">
        <v>1167.78</v>
      </c>
      <c r="P52" s="99">
        <v>45817</v>
      </c>
      <c r="R52" s="59" t="s">
        <v>377</v>
      </c>
      <c r="S52" s="59">
        <v>561.44000000000005</v>
      </c>
      <c r="T52" s="99">
        <v>45817</v>
      </c>
      <c r="V52" s="59" t="s">
        <v>377</v>
      </c>
      <c r="W52" s="59">
        <v>459.44</v>
      </c>
      <c r="X52" s="99">
        <v>45817</v>
      </c>
    </row>
    <row r="53" spans="1:24" x14ac:dyDescent="0.3">
      <c r="A53" s="99"/>
      <c r="B53" s="99">
        <v>45775</v>
      </c>
      <c r="C53" s="61">
        <v>2276.5700000000002</v>
      </c>
      <c r="D53" s="99"/>
      <c r="E53" s="99">
        <v>45775</v>
      </c>
      <c r="F53" s="94">
        <v>24346.7</v>
      </c>
      <c r="H53" s="99">
        <v>45775</v>
      </c>
      <c r="I53" s="94">
        <v>1154.78</v>
      </c>
      <c r="J53" s="99"/>
      <c r="K53" s="99">
        <v>45775</v>
      </c>
      <c r="L53" s="59">
        <v>691.91</v>
      </c>
      <c r="M53" s="147"/>
      <c r="N53" s="59" t="s">
        <v>378</v>
      </c>
      <c r="O53" s="94">
        <v>1188.7</v>
      </c>
      <c r="P53" s="99">
        <v>45810</v>
      </c>
      <c r="R53" s="59" t="s">
        <v>378</v>
      </c>
      <c r="S53" s="59">
        <v>572.03</v>
      </c>
      <c r="T53" s="99">
        <v>45810</v>
      </c>
      <c r="V53" s="59" t="s">
        <v>378</v>
      </c>
      <c r="W53" s="59">
        <v>473.97</v>
      </c>
      <c r="X53" s="99">
        <v>45810</v>
      </c>
    </row>
    <row r="54" spans="1:24" x14ac:dyDescent="0.3">
      <c r="A54" s="99"/>
      <c r="B54" s="99">
        <v>45782</v>
      </c>
      <c r="C54" s="61">
        <v>2290.62</v>
      </c>
      <c r="D54" s="99"/>
      <c r="E54" s="99">
        <v>45782</v>
      </c>
      <c r="F54" s="94">
        <v>24008</v>
      </c>
      <c r="H54" s="99">
        <v>45782</v>
      </c>
      <c r="I54" s="94">
        <v>1151.6099999999999</v>
      </c>
      <c r="J54" s="99"/>
      <c r="K54" s="99">
        <v>45782</v>
      </c>
      <c r="L54" s="59">
        <v>716.17</v>
      </c>
      <c r="M54" s="147"/>
      <c r="N54" s="59" t="s">
        <v>379</v>
      </c>
      <c r="O54" s="94">
        <v>1209.6199999999999</v>
      </c>
      <c r="P54" s="99">
        <f>DATE(RIGHT(N54,4),MATCH(LEFT(N54,3),{"Jan","Feb","Mar","Apr","May","Jun","Jul","Aug","Sep","Oct","Nov","Dec"},0),MID(N54,5,2))</f>
        <v>45803</v>
      </c>
      <c r="R54" s="59" t="s">
        <v>379</v>
      </c>
      <c r="S54" s="59">
        <v>572.86</v>
      </c>
      <c r="T54" s="99">
        <f>DATE(RIGHT(R54,4),MATCH(LEFT(R54,3),{"Jan","Feb","Mar","Apr","May","Jun","Jul","Aug","Sep","Oct","Nov","Dec"},0),MID(R54,5,2))</f>
        <v>45803</v>
      </c>
      <c r="V54" s="59" t="s">
        <v>379</v>
      </c>
      <c r="W54" s="59">
        <v>475.64</v>
      </c>
      <c r="X54" s="99">
        <f>DATE(RIGHT(V54,4),MATCH(LEFT(V54,3),{"Jan","Feb","Mar","Apr","May","Jun","Jul","Aug","Sep","Oct","Nov","Dec"},0),MID(V54,5,2))</f>
        <v>45803</v>
      </c>
    </row>
    <row r="55" spans="1:24" x14ac:dyDescent="0.3">
      <c r="A55" s="99"/>
      <c r="B55" s="99">
        <v>45789</v>
      </c>
      <c r="C55" s="61">
        <v>2338.2399999999998</v>
      </c>
      <c r="D55" s="99"/>
      <c r="E55" s="99">
        <v>45789</v>
      </c>
      <c r="F55" s="94">
        <v>25019.8</v>
      </c>
      <c r="H55" s="99">
        <v>45789</v>
      </c>
      <c r="I55" s="94">
        <v>1192.92</v>
      </c>
      <c r="J55" s="99"/>
      <c r="K55" s="99">
        <v>45789</v>
      </c>
      <c r="L55" s="59">
        <v>717.26</v>
      </c>
      <c r="M55" s="147"/>
      <c r="N55" s="59" t="s">
        <v>380</v>
      </c>
      <c r="O55" s="94">
        <v>1254.81</v>
      </c>
      <c r="P55" s="99">
        <f>DATE(RIGHT(N55,4),MATCH(LEFT(N55,3),{"Jan","Feb","Mar","Apr","May","Jun","Jul","Aug","Sep","Oct","Nov","Dec"},0),MID(N55,5,2))</f>
        <v>45796</v>
      </c>
      <c r="R55" s="59" t="s">
        <v>380</v>
      </c>
      <c r="S55" s="59">
        <v>580.29</v>
      </c>
      <c r="T55" s="99">
        <f>DATE(RIGHT(R55,4),MATCH(LEFT(R55,3),{"Jan","Feb","Mar","Apr","May","Jun","Jul","Aug","Sep","Oct","Nov","Dec"},0),MID(R55,5,2))</f>
        <v>45796</v>
      </c>
      <c r="V55" s="59" t="s">
        <v>380</v>
      </c>
      <c r="W55" s="59">
        <v>474.66</v>
      </c>
      <c r="X55" s="99">
        <f>DATE(RIGHT(V55,4),MATCH(LEFT(V55,3),{"Jan","Feb","Mar","Apr","May","Jun","Jul","Aug","Sep","Oct","Nov","Dec"},0),MID(V55,5,2))</f>
        <v>45796</v>
      </c>
    </row>
    <row r="56" spans="1:24" x14ac:dyDescent="0.3">
      <c r="A56" s="99"/>
      <c r="B56" s="99">
        <v>45796</v>
      </c>
      <c r="C56" s="61">
        <v>2316.44</v>
      </c>
      <c r="D56" s="99"/>
      <c r="E56" s="99">
        <v>45796</v>
      </c>
      <c r="F56" s="94">
        <v>24853.15</v>
      </c>
      <c r="H56" s="99">
        <v>45796</v>
      </c>
      <c r="I56" s="94">
        <v>1195.69</v>
      </c>
      <c r="J56" s="99"/>
      <c r="K56" s="99">
        <v>45796</v>
      </c>
      <c r="L56" s="59">
        <v>693.94</v>
      </c>
      <c r="M56" s="147"/>
      <c r="N56" s="59" t="s">
        <v>381</v>
      </c>
      <c r="O56" s="94">
        <v>1271.57</v>
      </c>
      <c r="P56" s="99">
        <f>DATE(RIGHT(N56,4),MATCH(LEFT(N56,3),{"Jan","Feb","Mar","Apr","May","Jun","Jul","Aug","Sep","Oct","Nov","Dec"},0),MID(N56,5,2))</f>
        <v>45789</v>
      </c>
      <c r="R56" s="59" t="s">
        <v>381</v>
      </c>
      <c r="S56" s="59">
        <v>619.84</v>
      </c>
      <c r="T56" s="99">
        <f>DATE(RIGHT(R56,4),MATCH(LEFT(R56,3),{"Jan","Feb","Mar","Apr","May","Jun","Jul","Aug","Sep","Oct","Nov","Dec"},0),MID(R56,5,2))</f>
        <v>45789</v>
      </c>
      <c r="V56" s="59" t="s">
        <v>381</v>
      </c>
      <c r="W56" s="59">
        <v>469.44</v>
      </c>
      <c r="X56" s="99">
        <f>DATE(RIGHT(V56,4),MATCH(LEFT(V56,3),{"Jan","Feb","Mar","Apr","May","Jun","Jul","Aug","Sep","Oct","Nov","Dec"},0),MID(V56,5,2))</f>
        <v>45789</v>
      </c>
    </row>
    <row r="57" spans="1:24" x14ac:dyDescent="0.3">
      <c r="A57" s="99"/>
      <c r="B57" s="99">
        <v>45803</v>
      </c>
      <c r="C57" s="61">
        <v>2305.7399999999998</v>
      </c>
      <c r="D57" s="99"/>
      <c r="E57" s="99">
        <v>45803</v>
      </c>
      <c r="F57" s="94">
        <v>24750.7</v>
      </c>
      <c r="H57" s="99">
        <v>45803</v>
      </c>
      <c r="I57" s="94">
        <v>1186.68</v>
      </c>
      <c r="J57" s="99"/>
      <c r="K57" s="99">
        <v>45803</v>
      </c>
      <c r="L57" s="59">
        <v>709.38</v>
      </c>
      <c r="M57" s="147"/>
      <c r="N57" s="59" t="s">
        <v>382</v>
      </c>
      <c r="O57" s="94">
        <v>1215.4000000000001</v>
      </c>
      <c r="P57" s="99">
        <v>45782</v>
      </c>
      <c r="R57" s="59" t="s">
        <v>382</v>
      </c>
      <c r="S57" s="59">
        <v>614.1</v>
      </c>
      <c r="T57" s="99">
        <v>45782</v>
      </c>
      <c r="V57" s="59" t="s">
        <v>382</v>
      </c>
      <c r="W57" s="59">
        <v>455.75</v>
      </c>
      <c r="X57" s="99">
        <v>45782</v>
      </c>
    </row>
    <row r="58" spans="1:24" x14ac:dyDescent="0.3">
      <c r="A58" s="99"/>
      <c r="B58" s="99">
        <v>45810</v>
      </c>
      <c r="C58" s="61">
        <v>2346.48</v>
      </c>
      <c r="D58" s="99"/>
      <c r="E58" s="99">
        <v>45810</v>
      </c>
      <c r="F58" s="94">
        <v>25003.05</v>
      </c>
      <c r="H58" s="99">
        <v>45810</v>
      </c>
      <c r="I58" s="94">
        <v>1197.08</v>
      </c>
      <c r="J58" s="99"/>
      <c r="K58" s="99">
        <v>45810</v>
      </c>
      <c r="L58" s="59">
        <v>691.76</v>
      </c>
      <c r="M58" s="147"/>
      <c r="N58" s="59" t="s">
        <v>383</v>
      </c>
      <c r="O58" s="94">
        <v>1231.45</v>
      </c>
      <c r="P58" s="99">
        <f>DATE(RIGHT(N58,4),MATCH(LEFT(N58,3),{"Jan","Feb","Mar","Apr","May","Jun","Jul","Aug","Sep","Oct","Nov","Dec"},0),MID(N58,5,2))</f>
        <v>45775</v>
      </c>
      <c r="R58" s="59" t="s">
        <v>383</v>
      </c>
      <c r="S58" s="59">
        <v>614.29</v>
      </c>
      <c r="T58" s="99">
        <f>DATE(RIGHT(R58,4),MATCH(LEFT(R58,3),{"Jan","Feb","Mar","Apr","May","Jun","Jul","Aug","Sep","Oct","Nov","Dec"},0),MID(R58,5,2))</f>
        <v>45775</v>
      </c>
      <c r="V58" s="59" t="s">
        <v>383</v>
      </c>
      <c r="W58" s="59">
        <v>472.15</v>
      </c>
      <c r="X58" s="99">
        <f>DATE(RIGHT(V58,4),MATCH(LEFT(V58,3),{"Jan","Feb","Mar","Apr","May","Jun","Jul","Aug","Sep","Oct","Nov","Dec"},0),MID(V58,5,2))</f>
        <v>45775</v>
      </c>
    </row>
    <row r="59" spans="1:24" x14ac:dyDescent="0.3">
      <c r="A59" s="99"/>
      <c r="B59" s="99">
        <v>45817</v>
      </c>
      <c r="C59" s="61">
        <v>2276.9699999999998</v>
      </c>
      <c r="D59" s="99"/>
      <c r="E59" s="99">
        <v>45817</v>
      </c>
      <c r="F59" s="94">
        <v>24718.6</v>
      </c>
      <c r="H59" s="99">
        <v>45817</v>
      </c>
      <c r="I59" s="94">
        <v>1177.07</v>
      </c>
      <c r="J59" s="99"/>
      <c r="K59" s="99">
        <v>45817</v>
      </c>
      <c r="L59" s="59">
        <v>684.38</v>
      </c>
      <c r="M59" s="147"/>
      <c r="N59" s="59" t="s">
        <v>384</v>
      </c>
      <c r="O59" s="94">
        <v>1239.28</v>
      </c>
      <c r="P59" s="99">
        <f>DATE(RIGHT(N59,4),MATCH(LEFT(N59,3),{"Jan","Feb","Mar","Apr","May","Jun","Jul","Aug","Sep","Oct","Nov","Dec"},0),MID(N59,5,2))</f>
        <v>45768</v>
      </c>
      <c r="R59" s="59" t="s">
        <v>384</v>
      </c>
      <c r="S59" s="59">
        <v>603.77</v>
      </c>
      <c r="T59" s="99">
        <f>DATE(RIGHT(R59,4),MATCH(LEFT(R59,3),{"Jan","Feb","Mar","Apr","May","Jun","Jul","Aug","Sep","Oct","Nov","Dec"},0),MID(R59,5,2))</f>
        <v>45768</v>
      </c>
      <c r="V59" s="59" t="s">
        <v>384</v>
      </c>
      <c r="W59" s="59">
        <v>477.27</v>
      </c>
      <c r="X59" s="99">
        <f>DATE(RIGHT(V59,4),MATCH(LEFT(V59,3),{"Jan","Feb","Mar","Apr","May","Jun","Jul","Aug","Sep","Oct","Nov","Dec"},0),MID(V59,5,2))</f>
        <v>45768</v>
      </c>
    </row>
    <row r="60" spans="1:24" x14ac:dyDescent="0.3">
      <c r="A60" s="99"/>
      <c r="B60" s="99">
        <v>45824</v>
      </c>
      <c r="C60" s="61">
        <v>2264.4</v>
      </c>
      <c r="D60" s="99"/>
      <c r="E60" s="99">
        <v>45824</v>
      </c>
      <c r="F60" s="94">
        <v>25112.400000000001</v>
      </c>
      <c r="H60" s="99">
        <v>45824</v>
      </c>
      <c r="I60" s="94">
        <v>1168.95</v>
      </c>
      <c r="J60" s="99"/>
      <c r="K60" s="99">
        <v>45824</v>
      </c>
      <c r="L60" s="59">
        <v>686.46</v>
      </c>
      <c r="M60" s="147"/>
      <c r="N60" s="59" t="s">
        <v>385</v>
      </c>
      <c r="O60" s="94">
        <v>1212.6600000000001</v>
      </c>
      <c r="P60" s="99">
        <f>DATE(RIGHT(N60,4),MATCH(LEFT(N60,3),{"Jan","Feb","Mar","Apr","May","Jun","Jul","Aug","Sep","Oct","Nov","Dec"},0),MID(N60,5,2))</f>
        <v>45761</v>
      </c>
      <c r="R60" s="59" t="s">
        <v>385</v>
      </c>
      <c r="S60" s="59">
        <v>599.1</v>
      </c>
      <c r="T60" s="99">
        <f>DATE(RIGHT(R60,4),MATCH(LEFT(R60,3),{"Jan","Feb","Mar","Apr","May","Jun","Jul","Aug","Sep","Oct","Nov","Dec"},0),MID(R60,5,2))</f>
        <v>45761</v>
      </c>
      <c r="V60" s="59" t="s">
        <v>385</v>
      </c>
      <c r="W60" s="59">
        <v>472.05</v>
      </c>
      <c r="X60" s="99">
        <f>DATE(RIGHT(V60,4),MATCH(LEFT(V60,3),{"Jan","Feb","Mar","Apr","May","Jun","Jul","Aug","Sep","Oct","Nov","Dec"},0),MID(V60,5,2))</f>
        <v>45761</v>
      </c>
    </row>
    <row r="61" spans="1:24" x14ac:dyDescent="0.3">
      <c r="A61" s="99"/>
      <c r="B61" s="99">
        <v>45831</v>
      </c>
      <c r="C61" s="61">
        <v>2265.09</v>
      </c>
      <c r="D61" s="99"/>
      <c r="E61" s="99">
        <v>45831</v>
      </c>
      <c r="F61" s="94">
        <v>25637.8</v>
      </c>
      <c r="H61" s="99">
        <v>45831</v>
      </c>
      <c r="I61" s="94">
        <v>1217.6300000000001</v>
      </c>
      <c r="J61" s="99"/>
      <c r="K61" s="99">
        <v>45831</v>
      </c>
      <c r="L61" s="59">
        <v>724.43</v>
      </c>
      <c r="M61" s="148"/>
      <c r="N61" s="59" t="s">
        <v>386</v>
      </c>
      <c r="O61" s="94">
        <v>1197.3</v>
      </c>
      <c r="P61" s="99">
        <v>45754</v>
      </c>
      <c r="R61" s="59" t="s">
        <v>386</v>
      </c>
      <c r="S61" s="59">
        <v>592.76</v>
      </c>
      <c r="T61" s="99">
        <v>45754</v>
      </c>
      <c r="V61" s="59" t="s">
        <v>386</v>
      </c>
      <c r="W61" s="59">
        <v>454.32</v>
      </c>
      <c r="X61" s="99">
        <v>45754</v>
      </c>
    </row>
    <row r="62" spans="1:24" x14ac:dyDescent="0.3">
      <c r="A62" s="99"/>
      <c r="B62" s="99">
        <v>45838</v>
      </c>
      <c r="C62" s="61">
        <v>2321.0500000000002</v>
      </c>
      <c r="D62" s="99"/>
      <c r="E62" s="99">
        <v>45838</v>
      </c>
      <c r="F62" s="94">
        <v>25461</v>
      </c>
      <c r="H62" s="99">
        <v>45838</v>
      </c>
      <c r="I62" s="94">
        <v>1184.99</v>
      </c>
      <c r="J62" s="99"/>
      <c r="K62" s="99">
        <v>45838</v>
      </c>
      <c r="L62" s="59">
        <v>721.41</v>
      </c>
      <c r="M62" s="147"/>
      <c r="N62" s="59" t="s">
        <v>387</v>
      </c>
      <c r="O62" s="94">
        <v>1131.74</v>
      </c>
      <c r="P62" s="99">
        <f>DATE(RIGHT(N62,4),MATCH(LEFT(N62,3),{"Jan","Feb","Mar","Apr","May","Jun","Jul","Aug","Sep","Oct","Nov","Dec"},0),MID(N62,5,2))</f>
        <v>45747</v>
      </c>
      <c r="R62" s="59" t="s">
        <v>387</v>
      </c>
      <c r="S62" s="59">
        <v>577.47</v>
      </c>
      <c r="T62" s="99">
        <f>DATE(RIGHT(R62,4),MATCH(LEFT(R62,3),{"Jan","Feb","Mar","Apr","May","Jun","Jul","Aug","Sep","Oct","Nov","Dec"},0),MID(R62,5,2))</f>
        <v>45747</v>
      </c>
      <c r="V62" s="59" t="s">
        <v>387</v>
      </c>
      <c r="W62" s="59">
        <v>454.76</v>
      </c>
      <c r="X62" s="99">
        <f>DATE(RIGHT(V62,4),MATCH(LEFT(V62,3),{"Jan","Feb","Mar","Apr","May","Jun","Jul","Aug","Sep","Oct","Nov","Dec"},0),MID(V62,5,2))</f>
        <v>45747</v>
      </c>
    </row>
    <row r="63" spans="1:24" x14ac:dyDescent="0.3">
      <c r="A63" s="99"/>
      <c r="B63" s="99">
        <v>45845</v>
      </c>
      <c r="C63" s="61">
        <v>2499.9499999999998</v>
      </c>
      <c r="D63" s="99"/>
      <c r="E63" s="99">
        <v>45845</v>
      </c>
      <c r="F63" s="94">
        <v>25149.85</v>
      </c>
      <c r="H63" s="99">
        <v>45845</v>
      </c>
      <c r="I63" s="94">
        <v>1195.3</v>
      </c>
      <c r="J63" s="99"/>
      <c r="K63" s="99">
        <v>45845</v>
      </c>
      <c r="L63" s="59">
        <v>718.49</v>
      </c>
      <c r="M63" s="147"/>
      <c r="N63" s="59" t="s">
        <v>388</v>
      </c>
      <c r="O63" s="94">
        <v>1134.33</v>
      </c>
      <c r="P63" s="99">
        <f>DATE(RIGHT(N63,4),MATCH(LEFT(N63,3),{"Jan","Feb","Mar","Apr","May","Jun","Jul","Aug","Sep","Oct","Nov","Dec"},0),MID(N63,5,2))</f>
        <v>45740</v>
      </c>
      <c r="R63" s="59" t="s">
        <v>388</v>
      </c>
      <c r="S63" s="59">
        <v>564.9</v>
      </c>
      <c r="T63" s="99">
        <f>DATE(RIGHT(R63,4),MATCH(LEFT(R63,3),{"Jan","Feb","Mar","Apr","May","Jun","Jul","Aug","Sep","Oct","Nov","Dec"},0),MID(R63,5,2))</f>
        <v>45740</v>
      </c>
      <c r="V63" s="59" t="s">
        <v>388</v>
      </c>
      <c r="W63" s="59">
        <v>498.84</v>
      </c>
      <c r="X63" s="99">
        <f>DATE(RIGHT(V63,4),MATCH(LEFT(V63,3),{"Jan","Feb","Mar","Apr","May","Jun","Jul","Aug","Sep","Oct","Nov","Dec"},0),MID(V63,5,2))</f>
        <v>45740</v>
      </c>
    </row>
    <row r="64" spans="1:24" x14ac:dyDescent="0.3">
      <c r="A64" s="99"/>
      <c r="B64" s="99">
        <v>45852</v>
      </c>
      <c r="C64" s="61">
        <v>2470.1799999999998</v>
      </c>
      <c r="D64" s="99"/>
      <c r="E64" s="99">
        <v>45852</v>
      </c>
      <c r="F64" s="94">
        <v>24968.400000000001</v>
      </c>
      <c r="H64" s="99">
        <v>45852</v>
      </c>
      <c r="I64" s="94">
        <v>1229.46</v>
      </c>
      <c r="J64" s="99"/>
      <c r="K64" s="99">
        <v>45852</v>
      </c>
      <c r="L64" s="59">
        <v>713.1</v>
      </c>
      <c r="M64" s="147"/>
      <c r="N64" s="59" t="s">
        <v>389</v>
      </c>
      <c r="O64" s="94">
        <v>1088.05</v>
      </c>
      <c r="P64" s="99">
        <f>DATE(RIGHT(N64,4),MATCH(LEFT(N64,3),{"Jan","Feb","Mar","Apr","May","Jun","Jul","Aug","Sep","Oct","Nov","Dec"},0),MID(N64,5,2))</f>
        <v>45733</v>
      </c>
      <c r="R64" s="59" t="s">
        <v>389</v>
      </c>
      <c r="S64" s="59">
        <v>561.1</v>
      </c>
      <c r="T64" s="99">
        <f>DATE(RIGHT(R64,4),MATCH(LEFT(R64,3),{"Jan","Feb","Mar","Apr","May","Jun","Jul","Aug","Sep","Oct","Nov","Dec"},0),MID(R64,5,2))</f>
        <v>45733</v>
      </c>
      <c r="V64" s="59" t="s">
        <v>389</v>
      </c>
      <c r="W64" s="59">
        <v>499.13</v>
      </c>
      <c r="X64" s="99">
        <f>DATE(RIGHT(V64,4),MATCH(LEFT(V64,3),{"Jan","Feb","Mar","Apr","May","Jun","Jul","Aug","Sep","Oct","Nov","Dec"},0),MID(V64,5,2))</f>
        <v>45733</v>
      </c>
    </row>
    <row r="65" spans="1:24" x14ac:dyDescent="0.3">
      <c r="A65" s="99"/>
      <c r="B65" s="99">
        <v>45859</v>
      </c>
      <c r="C65" s="61">
        <v>2396.56</v>
      </c>
      <c r="D65" s="99"/>
      <c r="E65" s="99">
        <v>45859</v>
      </c>
      <c r="F65" s="94">
        <v>24837</v>
      </c>
      <c r="H65" s="99">
        <v>45859</v>
      </c>
      <c r="I65" s="94">
        <v>1131.19</v>
      </c>
      <c r="J65" s="99"/>
      <c r="K65" s="99">
        <v>45859</v>
      </c>
      <c r="L65" s="59">
        <v>687.11</v>
      </c>
      <c r="M65" s="147"/>
      <c r="N65" s="59" t="s">
        <v>390</v>
      </c>
      <c r="O65" s="94">
        <v>1003.75</v>
      </c>
      <c r="P65" s="99">
        <f>DATE(RIGHT(N65,4),MATCH(LEFT(N65,3),{"Jan","Feb","Mar","Apr","May","Jun","Jul","Aug","Sep","Oct","Nov","Dec"},0),MID(N65,5,2))</f>
        <v>45726</v>
      </c>
      <c r="R65" s="59" t="s">
        <v>390</v>
      </c>
      <c r="S65" s="59">
        <v>547.61</v>
      </c>
      <c r="T65" s="99">
        <f>DATE(RIGHT(R65,4),MATCH(LEFT(R65,3),{"Jan","Feb","Mar","Apr","May","Jun","Jul","Aug","Sep","Oct","Nov","Dec"},0),MID(R65,5,2))</f>
        <v>45726</v>
      </c>
      <c r="V65" s="59" t="s">
        <v>390</v>
      </c>
      <c r="W65" s="59">
        <v>493.37</v>
      </c>
      <c r="X65" s="99">
        <f>DATE(RIGHT(V65,4),MATCH(LEFT(V65,3),{"Jan","Feb","Mar","Apr","May","Jun","Jul","Aug","Sep","Oct","Nov","Dec"},0),MID(V65,5,2))</f>
        <v>45726</v>
      </c>
    </row>
    <row r="66" spans="1:24" x14ac:dyDescent="0.3">
      <c r="A66" s="99"/>
      <c r="B66" s="99">
        <v>45866</v>
      </c>
      <c r="C66" s="61">
        <v>2533.7800000000002</v>
      </c>
      <c r="D66" s="99"/>
      <c r="E66" s="99">
        <v>45866</v>
      </c>
      <c r="F66" s="94">
        <v>24565.35</v>
      </c>
      <c r="H66" s="99">
        <v>45866</v>
      </c>
      <c r="I66" s="94">
        <v>1132.1400000000001</v>
      </c>
      <c r="J66" s="99"/>
      <c r="K66" s="99">
        <v>45866</v>
      </c>
      <c r="L66" s="59">
        <v>704.19</v>
      </c>
      <c r="M66" s="147"/>
      <c r="N66" s="59" t="s">
        <v>391</v>
      </c>
      <c r="O66" s="94">
        <v>1022.83</v>
      </c>
      <c r="P66" s="99">
        <v>45719</v>
      </c>
      <c r="R66" s="59" t="s">
        <v>391</v>
      </c>
      <c r="S66" s="59">
        <v>537.48</v>
      </c>
      <c r="T66" s="99">
        <v>45719</v>
      </c>
      <c r="V66" s="59" t="s">
        <v>391</v>
      </c>
      <c r="W66" s="59">
        <v>488.3</v>
      </c>
      <c r="X66" s="99">
        <v>45719</v>
      </c>
    </row>
    <row r="67" spans="1:24" x14ac:dyDescent="0.3">
      <c r="A67" s="99"/>
      <c r="B67" s="99">
        <v>45873</v>
      </c>
      <c r="C67" s="61">
        <v>2479.11</v>
      </c>
      <c r="D67" s="99"/>
      <c r="E67" s="99">
        <v>45873</v>
      </c>
      <c r="F67" s="94">
        <v>24363.3</v>
      </c>
      <c r="H67" s="99">
        <v>45873</v>
      </c>
      <c r="I67" s="94">
        <v>1090.6099999999999</v>
      </c>
      <c r="J67" s="99"/>
      <c r="K67" s="99">
        <v>45873</v>
      </c>
      <c r="L67" s="59">
        <v>703.95</v>
      </c>
      <c r="M67" s="147"/>
      <c r="N67" s="59" t="s">
        <v>392</v>
      </c>
      <c r="O67" s="59">
        <v>983.55</v>
      </c>
      <c r="P67" s="99">
        <f>DATE(RIGHT(N67,4),MATCH(LEFT(N67,3),{"Jan","Feb","Mar","Apr","May","Jun","Jul","Aug","Sep","Oct","Nov","Dec"},0),MID(N67,5,2))</f>
        <v>45712</v>
      </c>
      <c r="R67" s="59" t="s">
        <v>392</v>
      </c>
      <c r="S67" s="59">
        <v>516.24</v>
      </c>
      <c r="T67" s="99">
        <f>DATE(RIGHT(R67,4),MATCH(LEFT(R67,3),{"Jan","Feb","Mar","Apr","May","Jun","Jul","Aug","Sep","Oct","Nov","Dec"},0),MID(R67,5,2))</f>
        <v>45712</v>
      </c>
      <c r="V67" s="59" t="s">
        <v>392</v>
      </c>
      <c r="W67" s="59">
        <v>485.84</v>
      </c>
      <c r="X67" s="99">
        <f>DATE(RIGHT(V67,4),MATCH(LEFT(V67,3),{"Jan","Feb","Mar","Apr","May","Jun","Jul","Aug","Sep","Oct","Nov","Dec"},0),MID(V67,5,2))</f>
        <v>45712</v>
      </c>
    </row>
    <row r="68" spans="1:24" x14ac:dyDescent="0.3">
      <c r="A68" s="99"/>
      <c r="B68" s="99">
        <v>45880</v>
      </c>
      <c r="C68" s="61">
        <v>2461.25</v>
      </c>
      <c r="D68" s="99"/>
      <c r="E68" s="99">
        <v>45880</v>
      </c>
      <c r="F68" s="94">
        <v>24631.3</v>
      </c>
      <c r="H68" s="99">
        <v>45880</v>
      </c>
      <c r="I68" s="94">
        <v>1083.55</v>
      </c>
      <c r="J68" s="99"/>
      <c r="K68" s="99">
        <v>45880</v>
      </c>
      <c r="L68" s="59">
        <v>710.55</v>
      </c>
      <c r="M68" s="147"/>
      <c r="N68" s="59" t="s">
        <v>393</v>
      </c>
      <c r="O68" s="94">
        <v>1029.5899999999999</v>
      </c>
      <c r="P68" s="99">
        <f>DATE(RIGHT(N68,4),MATCH(LEFT(N68,3),{"Jan","Feb","Mar","Apr","May","Jun","Jul","Aug","Sep","Oct","Nov","Dec"},0),MID(N68,5,2))</f>
        <v>45705</v>
      </c>
      <c r="R68" s="59" t="s">
        <v>393</v>
      </c>
      <c r="S68" s="59">
        <v>542.25</v>
      </c>
      <c r="T68" s="99">
        <f>DATE(RIGHT(R68,4),MATCH(LEFT(R68,3),{"Jan","Feb","Mar","Apr","May","Jun","Jul","Aug","Sep","Oct","Nov","Dec"},0),MID(R68,5,2))</f>
        <v>45705</v>
      </c>
      <c r="V68" s="59" t="s">
        <v>393</v>
      </c>
      <c r="W68" s="59">
        <v>500.95</v>
      </c>
      <c r="X68" s="99">
        <f>DATE(RIGHT(V68,4),MATCH(LEFT(V68,3),{"Jan","Feb","Mar","Apr","May","Jun","Jul","Aug","Sep","Oct","Nov","Dec"},0),MID(V68,5,2))</f>
        <v>45705</v>
      </c>
    </row>
    <row r="69" spans="1:24" x14ac:dyDescent="0.3">
      <c r="A69" s="99"/>
      <c r="B69" s="99">
        <v>45887</v>
      </c>
      <c r="C69" s="61">
        <v>2609.39</v>
      </c>
      <c r="D69" s="99"/>
      <c r="E69" s="99">
        <v>45887</v>
      </c>
      <c r="F69" s="94">
        <v>24870.1</v>
      </c>
      <c r="H69" s="99">
        <v>45887</v>
      </c>
      <c r="I69" s="94">
        <v>1156.6600000000001</v>
      </c>
      <c r="J69" s="99"/>
      <c r="K69" s="99">
        <v>45887</v>
      </c>
      <c r="L69" s="59">
        <v>730.7</v>
      </c>
      <c r="M69" s="147"/>
      <c r="N69" s="59" t="s">
        <v>394</v>
      </c>
      <c r="O69" s="94">
        <v>1036.1400000000001</v>
      </c>
      <c r="P69" s="99">
        <f>DATE(RIGHT(N69,4),MATCH(LEFT(N69,3),{"Jan","Feb","Mar","Apr","May","Jun","Jul","Aug","Sep","Oct","Nov","Dec"},0),MID(N69,5,2))</f>
        <v>45698</v>
      </c>
      <c r="R69" s="59" t="s">
        <v>394</v>
      </c>
      <c r="S69" s="59">
        <v>510.94</v>
      </c>
      <c r="T69" s="99">
        <f>DATE(RIGHT(R69,4),MATCH(LEFT(R69,3),{"Jan","Feb","Mar","Apr","May","Jun","Jul","Aug","Sep","Oct","Nov","Dec"},0),MID(R69,5,2))</f>
        <v>45698</v>
      </c>
      <c r="V69" s="59" t="s">
        <v>394</v>
      </c>
      <c r="W69" s="59">
        <v>512.03</v>
      </c>
      <c r="X69" s="99">
        <f>DATE(RIGHT(V69,4),MATCH(LEFT(V69,3),{"Jan","Feb","Mar","Apr","May","Jun","Jul","Aug","Sep","Oct","Nov","Dec"},0),MID(V69,5,2))</f>
        <v>45698</v>
      </c>
    </row>
    <row r="70" spans="1:24" x14ac:dyDescent="0.3">
      <c r="A70" s="99"/>
      <c r="B70" s="99">
        <v>45894</v>
      </c>
      <c r="C70" s="61">
        <v>2639.05</v>
      </c>
      <c r="D70" s="99"/>
      <c r="E70" s="99">
        <v>45894</v>
      </c>
      <c r="F70" s="94">
        <v>24426.85</v>
      </c>
      <c r="H70" s="99">
        <v>45894</v>
      </c>
      <c r="I70" s="94">
        <v>1149.99</v>
      </c>
      <c r="J70" s="99"/>
      <c r="K70" s="99">
        <v>45894</v>
      </c>
      <c r="L70" s="59">
        <v>725.85</v>
      </c>
      <c r="M70" s="147"/>
      <c r="N70" s="59" t="s">
        <v>395</v>
      </c>
      <c r="O70" s="94">
        <v>1078.42</v>
      </c>
      <c r="P70" s="99">
        <v>45691</v>
      </c>
      <c r="R70" s="59" t="s">
        <v>395</v>
      </c>
      <c r="S70" s="59">
        <v>554.4</v>
      </c>
      <c r="T70" s="99">
        <v>45691</v>
      </c>
      <c r="V70" s="59" t="s">
        <v>395</v>
      </c>
      <c r="W70" s="59">
        <v>519.13</v>
      </c>
      <c r="X70" s="99">
        <v>45691</v>
      </c>
    </row>
    <row r="71" spans="1:24" x14ac:dyDescent="0.3">
      <c r="A71" s="99"/>
      <c r="B71" s="99">
        <v>45901</v>
      </c>
      <c r="C71" s="61">
        <v>2612.86</v>
      </c>
      <c r="D71" s="99"/>
      <c r="E71" s="99">
        <v>45901</v>
      </c>
      <c r="F71" s="94">
        <v>24741</v>
      </c>
      <c r="H71" s="99">
        <v>45901</v>
      </c>
      <c r="I71" s="94">
        <v>1202.01</v>
      </c>
      <c r="J71" s="99"/>
      <c r="K71" s="99">
        <v>45901</v>
      </c>
      <c r="L71" s="59">
        <v>731.7</v>
      </c>
      <c r="M71" s="147"/>
      <c r="N71" s="59" t="s">
        <v>396</v>
      </c>
      <c r="O71" s="94">
        <v>1161.19</v>
      </c>
      <c r="P71" s="99">
        <f>DATE(RIGHT(N71,4),MATCH(LEFT(N71,3),{"Jan","Feb","Mar","Apr","May","Jun","Jul","Aug","Sep","Oct","Nov","Dec"},0),MID(N71,5,2))</f>
        <v>45684</v>
      </c>
      <c r="R71" s="59" t="s">
        <v>396</v>
      </c>
      <c r="S71" s="59">
        <v>605.65</v>
      </c>
      <c r="T71" s="99">
        <f>DATE(RIGHT(R71,4),MATCH(LEFT(R71,3),{"Jan","Feb","Mar","Apr","May","Jun","Jul","Aug","Sep","Oct","Nov","Dec"},0),MID(R71,5,2))</f>
        <v>45684</v>
      </c>
      <c r="V71" s="59" t="s">
        <v>396</v>
      </c>
      <c r="W71" s="59">
        <v>530.94000000000005</v>
      </c>
      <c r="X71" s="99">
        <f>DATE(RIGHT(V71,4),MATCH(LEFT(V71,3),{"Jan","Feb","Mar","Apr","May","Jun","Jul","Aug","Sep","Oct","Nov","Dec"},0),MID(V71,5,2))</f>
        <v>45684</v>
      </c>
    </row>
    <row r="72" spans="1:24" x14ac:dyDescent="0.3">
      <c r="A72" s="99"/>
      <c r="B72" s="99">
        <v>45908</v>
      </c>
      <c r="C72" s="61">
        <v>2560.37</v>
      </c>
      <c r="D72" s="99"/>
      <c r="E72" s="99">
        <v>45908</v>
      </c>
      <c r="F72" s="94">
        <v>25114</v>
      </c>
      <c r="H72" s="99">
        <v>45908</v>
      </c>
      <c r="I72" s="94">
        <v>1211.06</v>
      </c>
      <c r="J72" s="99"/>
      <c r="K72" s="99">
        <v>45908</v>
      </c>
      <c r="L72" s="59">
        <v>734.55</v>
      </c>
      <c r="M72" s="147"/>
      <c r="N72" s="59" t="s">
        <v>397</v>
      </c>
      <c r="O72" s="94">
        <v>1101.42</v>
      </c>
      <c r="P72" s="99">
        <f>DATE(RIGHT(N72,4),MATCH(LEFT(N72,3),{"Jan","Feb","Mar","Apr","May","Jun","Jul","Aug","Sep","Oct","Nov","Dec"},0),MID(N72,5,2))</f>
        <v>45677</v>
      </c>
      <c r="R72" s="59" t="s">
        <v>397</v>
      </c>
      <c r="S72" s="59">
        <v>533.54999999999995</v>
      </c>
      <c r="T72" s="99">
        <f>DATE(RIGHT(R72,4),MATCH(LEFT(R72,3),{"Jan","Feb","Mar","Apr","May","Jun","Jul","Aug","Sep","Oct","Nov","Dec"},0),MID(R72,5,2))</f>
        <v>45677</v>
      </c>
      <c r="V72" s="59" t="s">
        <v>397</v>
      </c>
      <c r="W72" s="59">
        <v>513.76</v>
      </c>
      <c r="X72" s="99">
        <f>DATE(RIGHT(V72,4),MATCH(LEFT(V72,3),{"Jan","Feb","Mar","Apr","May","Jun","Jul","Aug","Sep","Oct","Nov","Dec"},0),MID(V72,5,2))</f>
        <v>45677</v>
      </c>
    </row>
    <row r="73" spans="1:24" x14ac:dyDescent="0.3">
      <c r="A73" s="99"/>
      <c r="B73" s="99">
        <v>45915</v>
      </c>
      <c r="C73" s="61">
        <v>2539.64</v>
      </c>
      <c r="D73" s="99"/>
      <c r="E73" s="99">
        <v>45915</v>
      </c>
      <c r="F73" s="94">
        <v>25327.05</v>
      </c>
      <c r="H73" s="99">
        <v>45915</v>
      </c>
      <c r="I73" s="94">
        <v>1188.0899999999999</v>
      </c>
      <c r="J73" s="99"/>
      <c r="K73" s="99">
        <v>45915</v>
      </c>
      <c r="L73" s="59">
        <v>720.15</v>
      </c>
      <c r="M73" s="147"/>
      <c r="N73" s="59" t="s">
        <v>398</v>
      </c>
      <c r="O73" s="94">
        <v>1157.3499999999999</v>
      </c>
      <c r="P73" s="99">
        <f>DATE(RIGHT(N73,4),MATCH(LEFT(N73,3),{"Jan","Feb","Mar","Apr","May","Jun","Jul","Aug","Sep","Oct","Nov","Dec"},0),MID(N73,5,2))</f>
        <v>45670</v>
      </c>
      <c r="R73" s="59" t="s">
        <v>398</v>
      </c>
      <c r="S73" s="59">
        <v>546.66</v>
      </c>
      <c r="T73" s="99">
        <f>DATE(RIGHT(R73,4),MATCH(LEFT(R73,3),{"Jan","Feb","Mar","Apr","May","Jun","Jul","Aug","Sep","Oct","Nov","Dec"},0),MID(R73,5,2))</f>
        <v>45670</v>
      </c>
      <c r="V73" s="59" t="s">
        <v>398</v>
      </c>
      <c r="W73" s="59">
        <v>518.09</v>
      </c>
      <c r="X73" s="99">
        <f>DATE(RIGHT(V73,4),MATCH(LEFT(V73,3),{"Jan","Feb","Mar","Apr","May","Jun","Jul","Aug","Sep","Oct","Nov","Dec"},0),MID(V73,5,2))</f>
        <v>45670</v>
      </c>
    </row>
    <row r="74" spans="1:24" x14ac:dyDescent="0.3">
      <c r="A74" s="99"/>
      <c r="B74" s="99">
        <v>45922</v>
      </c>
      <c r="C74" s="61">
        <v>2492.21</v>
      </c>
      <c r="D74" s="99"/>
      <c r="E74" s="99">
        <v>45922</v>
      </c>
      <c r="F74" s="94">
        <v>24654.7</v>
      </c>
      <c r="H74" s="99">
        <v>45922</v>
      </c>
      <c r="I74" s="94">
        <v>1156.3599999999999</v>
      </c>
      <c r="J74" s="99"/>
      <c r="K74" s="99">
        <v>45922</v>
      </c>
      <c r="L74" s="59">
        <v>698.35</v>
      </c>
      <c r="M74" s="147"/>
      <c r="N74" s="59" t="s">
        <v>399</v>
      </c>
      <c r="O74" s="94">
        <v>1144.24</v>
      </c>
      <c r="P74" s="99">
        <v>45663</v>
      </c>
      <c r="R74" s="59" t="s">
        <v>399</v>
      </c>
      <c r="S74" s="59">
        <v>570.41999999999996</v>
      </c>
      <c r="T74" s="99">
        <v>45663</v>
      </c>
      <c r="V74" s="59" t="s">
        <v>399</v>
      </c>
      <c r="W74" s="59">
        <v>510.06</v>
      </c>
      <c r="X74" s="99">
        <v>45663</v>
      </c>
    </row>
    <row r="75" spans="1:24" x14ac:dyDescent="0.3">
      <c r="A75" s="99"/>
      <c r="B75" s="99">
        <v>45929</v>
      </c>
      <c r="C75" s="61">
        <v>2525.0500000000002</v>
      </c>
      <c r="D75" s="99"/>
      <c r="E75" s="99">
        <v>45929</v>
      </c>
      <c r="F75" s="94">
        <v>24894.25</v>
      </c>
      <c r="H75" s="99">
        <v>45929</v>
      </c>
      <c r="I75" s="94">
        <v>1163.6199999999999</v>
      </c>
      <c r="J75" s="99"/>
      <c r="K75" s="99">
        <v>45929</v>
      </c>
      <c r="L75" s="59">
        <v>710.95</v>
      </c>
      <c r="M75" s="147"/>
      <c r="N75" s="59" t="s">
        <v>400</v>
      </c>
      <c r="O75" s="94">
        <v>1088.07</v>
      </c>
      <c r="P75" s="99">
        <f>DATE(RIGHT(N75,4),MATCH(LEFT(N75,3),{"Jan","Feb","Mar","Apr","May","Jun","Jul","Aug","Sep","Oct","Nov","Dec"},0),MID(N75,5,2))</f>
        <v>45656</v>
      </c>
      <c r="R75" s="59" t="s">
        <v>400</v>
      </c>
      <c r="S75" s="59">
        <v>594.66</v>
      </c>
      <c r="T75" s="99">
        <f>DATE(RIGHT(R75,4),MATCH(LEFT(R75,3),{"Jan","Feb","Mar","Apr","May","Jun","Jul","Aug","Sep","Oct","Nov","Dec"},0),MID(R75,5,2))</f>
        <v>45656</v>
      </c>
      <c r="V75" s="59" t="s">
        <v>400</v>
      </c>
      <c r="W75" s="59">
        <v>516.96</v>
      </c>
      <c r="X75" s="99">
        <f>DATE(RIGHT(V75,4),MATCH(LEFT(V75,3),{"Jan","Feb","Mar","Apr","May","Jun","Jul","Aug","Sep","Oct","Nov","Dec"},0),MID(V75,5,2))</f>
        <v>45656</v>
      </c>
    </row>
    <row r="76" spans="1:24" x14ac:dyDescent="0.3">
      <c r="A76" s="99"/>
      <c r="B76" s="99">
        <v>45936</v>
      </c>
      <c r="C76" s="61">
        <v>2509.1799999999998</v>
      </c>
      <c r="D76" s="99"/>
      <c r="E76" s="99">
        <v>45936</v>
      </c>
      <c r="F76" s="94">
        <v>25285.35</v>
      </c>
      <c r="H76" s="99">
        <v>45936</v>
      </c>
      <c r="I76" s="94">
        <v>1193.06</v>
      </c>
      <c r="J76" s="99"/>
      <c r="K76" s="99">
        <v>45936</v>
      </c>
      <c r="L76" s="59">
        <v>714.3</v>
      </c>
      <c r="M76" s="147"/>
      <c r="N76" s="59" t="s">
        <v>401</v>
      </c>
      <c r="O76" s="94">
        <v>1040.47</v>
      </c>
      <c r="P76" s="99">
        <f>DATE(RIGHT(N76,4),MATCH(LEFT(N76,3),{"Jan","Feb","Mar","Apr","May","Jun","Jul","Aug","Sep","Oct","Nov","Dec"},0),MID(N76,5,2))</f>
        <v>45649</v>
      </c>
      <c r="R76" s="59" t="s">
        <v>401</v>
      </c>
      <c r="S76" s="59">
        <v>571.24</v>
      </c>
      <c r="T76" s="99">
        <f>DATE(RIGHT(R76,4),MATCH(LEFT(R76,3),{"Jan","Feb","Mar","Apr","May","Jun","Jul","Aug","Sep","Oct","Nov","Dec"},0),MID(R76,5,2))</f>
        <v>45649</v>
      </c>
      <c r="V76" s="59" t="s">
        <v>401</v>
      </c>
      <c r="W76" s="59">
        <v>499.48</v>
      </c>
      <c r="X76" s="99">
        <f>DATE(RIGHT(V76,4),MATCH(LEFT(V76,3),{"Jan","Feb","Mar","Apr","May","Jun","Jul","Aug","Sep","Oct","Nov","Dec"},0),MID(V76,5,2))</f>
        <v>45649</v>
      </c>
    </row>
    <row r="77" spans="1:24" x14ac:dyDescent="0.3">
      <c r="A77" s="99"/>
      <c r="B77" s="99">
        <v>45943</v>
      </c>
      <c r="C77" s="61">
        <v>2583.39</v>
      </c>
      <c r="D77" s="99"/>
      <c r="E77" s="99">
        <v>45943</v>
      </c>
      <c r="F77" s="94">
        <v>25709.85</v>
      </c>
      <c r="H77" s="99">
        <v>45943</v>
      </c>
      <c r="I77" s="94">
        <v>1282.58</v>
      </c>
      <c r="J77" s="99"/>
      <c r="K77" s="99">
        <v>45943</v>
      </c>
      <c r="L77" s="59">
        <v>735.15</v>
      </c>
      <c r="M77" s="147"/>
      <c r="N77" s="59" t="s">
        <v>402</v>
      </c>
      <c r="O77" s="94">
        <v>1042.22</v>
      </c>
      <c r="P77" s="99">
        <f>DATE(RIGHT(N77,4),MATCH(LEFT(N77,3),{"Jan","Feb","Mar","Apr","May","Jun","Jul","Aug","Sep","Oct","Nov","Dec"},0),MID(N77,5,2))</f>
        <v>45642</v>
      </c>
      <c r="R77" s="59" t="s">
        <v>402</v>
      </c>
      <c r="S77" s="59">
        <v>571.82000000000005</v>
      </c>
      <c r="T77" s="99">
        <f>DATE(RIGHT(R77,4),MATCH(LEFT(R77,3),{"Jan","Feb","Mar","Apr","May","Jun","Jul","Aug","Sep","Oct","Nov","Dec"},0),MID(R77,5,2))</f>
        <v>45642</v>
      </c>
      <c r="V77" s="59" t="s">
        <v>402</v>
      </c>
      <c r="W77" s="59">
        <v>494.95</v>
      </c>
      <c r="X77" s="99">
        <f>DATE(RIGHT(V77,4),MATCH(LEFT(V77,3),{"Jan","Feb","Mar","Apr","May","Jun","Jul","Aug","Sep","Oct","Nov","Dec"},0),MID(V77,5,2))</f>
        <v>45642</v>
      </c>
    </row>
    <row r="78" spans="1:24" x14ac:dyDescent="0.3">
      <c r="A78" s="99"/>
      <c r="B78" s="99">
        <v>45950</v>
      </c>
      <c r="C78" s="61">
        <v>2496.77</v>
      </c>
      <c r="D78" s="99"/>
      <c r="E78" s="99">
        <v>45950</v>
      </c>
      <c r="F78" s="94">
        <v>25795.15</v>
      </c>
      <c r="H78" s="99">
        <v>45950</v>
      </c>
      <c r="I78" s="94">
        <v>1275.1199999999999</v>
      </c>
      <c r="J78" s="99"/>
      <c r="K78" s="99">
        <v>45950</v>
      </c>
      <c r="L78" s="59">
        <v>725.85</v>
      </c>
      <c r="M78" s="147"/>
      <c r="N78" s="59" t="s">
        <v>403</v>
      </c>
      <c r="O78" s="94">
        <v>1083</v>
      </c>
      <c r="P78" s="99">
        <v>45635</v>
      </c>
      <c r="R78" s="59" t="s">
        <v>403</v>
      </c>
      <c r="S78" s="59">
        <v>572.98</v>
      </c>
      <c r="T78" s="99">
        <v>45635</v>
      </c>
      <c r="V78" s="59" t="s">
        <v>403</v>
      </c>
      <c r="W78" s="59">
        <v>505.04</v>
      </c>
      <c r="X78" s="99">
        <v>45635</v>
      </c>
    </row>
    <row r="79" spans="1:24" x14ac:dyDescent="0.3">
      <c r="A79" s="99"/>
      <c r="B79" s="99">
        <v>45957</v>
      </c>
      <c r="C79" s="61">
        <v>2446.27</v>
      </c>
      <c r="D79" s="99"/>
      <c r="E79" s="99">
        <v>45957</v>
      </c>
      <c r="F79" s="94">
        <v>25722.1</v>
      </c>
      <c r="H79" s="99">
        <v>45957</v>
      </c>
      <c r="I79" s="94">
        <v>1264.77</v>
      </c>
      <c r="J79" s="99"/>
      <c r="K79" s="99">
        <v>45957</v>
      </c>
      <c r="L79" s="59">
        <v>719.95</v>
      </c>
      <c r="M79" s="147"/>
      <c r="N79" s="59" t="s">
        <v>404</v>
      </c>
      <c r="O79" s="94">
        <v>1203.82</v>
      </c>
      <c r="P79" s="99">
        <v>45628</v>
      </c>
      <c r="R79" s="59" t="s">
        <v>404</v>
      </c>
      <c r="S79" s="59">
        <v>621.80999999999995</v>
      </c>
      <c r="T79" s="99">
        <v>45628</v>
      </c>
      <c r="V79" s="59" t="s">
        <v>404</v>
      </c>
      <c r="W79" s="59">
        <v>515.88</v>
      </c>
      <c r="X79" s="99">
        <v>45628</v>
      </c>
    </row>
    <row r="80" spans="1:24" x14ac:dyDescent="0.3">
      <c r="A80" s="99"/>
      <c r="B80" s="99">
        <v>45964</v>
      </c>
      <c r="C80" s="61">
        <v>2395.17</v>
      </c>
      <c r="D80" s="99"/>
      <c r="E80" s="99">
        <v>45964</v>
      </c>
      <c r="F80" s="94">
        <v>25492.3</v>
      </c>
      <c r="H80" s="99">
        <v>45964</v>
      </c>
      <c r="I80" s="94">
        <v>1255.92</v>
      </c>
      <c r="J80" s="99"/>
      <c r="K80" s="99">
        <v>45964</v>
      </c>
      <c r="L80" s="59">
        <v>711.6</v>
      </c>
      <c r="M80" s="147"/>
      <c r="N80" s="59" t="s">
        <v>405</v>
      </c>
      <c r="O80" s="94">
        <v>1212.79</v>
      </c>
      <c r="P80" s="99">
        <f>DATE(RIGHT(N80,4),MATCH(LEFT(N80,3),{"Jan","Feb","Mar","Apr","May","Jun","Jul","Aug","Sep","Oct","Nov","Dec"},0),MID(N80,5,2))</f>
        <v>45621</v>
      </c>
      <c r="R80" s="59" t="s">
        <v>405</v>
      </c>
      <c r="S80" s="59">
        <v>661.97</v>
      </c>
      <c r="T80" s="99">
        <f>DATE(RIGHT(R80,4),MATCH(LEFT(R80,3),{"Jan","Feb","Mar","Apr","May","Jun","Jul","Aug","Sep","Oct","Nov","Dec"},0),MID(R80,5,2))</f>
        <v>45621</v>
      </c>
      <c r="V80" s="59" t="s">
        <v>405</v>
      </c>
      <c r="W80" s="59">
        <v>519.16999999999996</v>
      </c>
      <c r="X80" s="99">
        <f>DATE(RIGHT(V80,4),MATCH(LEFT(V80,3),{"Jan","Feb","Mar","Apr","May","Jun","Jul","Aug","Sep","Oct","Nov","Dec"},0),MID(V80,5,2))</f>
        <v>45621</v>
      </c>
    </row>
    <row r="81" spans="1:24" x14ac:dyDescent="0.3">
      <c r="A81" s="99"/>
      <c r="B81" s="99">
        <v>45971</v>
      </c>
      <c r="C81" s="61">
        <v>2427.6999999999998</v>
      </c>
      <c r="D81" s="99"/>
      <c r="E81" s="99">
        <v>45971</v>
      </c>
      <c r="F81" s="94">
        <v>25910.05</v>
      </c>
      <c r="H81" s="99">
        <v>45971</v>
      </c>
      <c r="I81" s="94">
        <v>1264.77</v>
      </c>
      <c r="J81" s="99"/>
      <c r="K81" s="99">
        <v>45971</v>
      </c>
      <c r="L81" s="59">
        <v>738.7</v>
      </c>
      <c r="M81" s="147"/>
      <c r="N81" s="59" t="s">
        <v>406</v>
      </c>
      <c r="O81" s="94">
        <v>1161.78</v>
      </c>
      <c r="P81" s="99">
        <f>DATE(RIGHT(N81,4),MATCH(LEFT(N81,3),{"Jan","Feb","Mar","Apr","May","Jun","Jul","Aug","Sep","Oct","Nov","Dec"},0),MID(N81,5,2))</f>
        <v>45614</v>
      </c>
      <c r="R81" s="59" t="s">
        <v>406</v>
      </c>
      <c r="S81" s="59">
        <v>614.42999999999995</v>
      </c>
      <c r="T81" s="99">
        <f>DATE(RIGHT(R81,4),MATCH(LEFT(R81,3),{"Jan","Feb","Mar","Apr","May","Jun","Jul","Aug","Sep","Oct","Nov","Dec"},0),MID(R81,5,2))</f>
        <v>45614</v>
      </c>
      <c r="V81" s="59" t="s">
        <v>406</v>
      </c>
      <c r="W81" s="59">
        <v>505.24</v>
      </c>
      <c r="X81" s="99">
        <f>DATE(RIGHT(V81,4),MATCH(LEFT(V81,3),{"Jan","Feb","Mar","Apr","May","Jun","Jul","Aug","Sep","Oct","Nov","Dec"},0),MID(V81,5,2))</f>
        <v>45614</v>
      </c>
    </row>
    <row r="82" spans="1:24" x14ac:dyDescent="0.3">
      <c r="A82" s="99"/>
      <c r="B82" s="99">
        <v>45978</v>
      </c>
      <c r="C82" s="61">
        <v>2433.6999999999998</v>
      </c>
      <c r="D82" s="99"/>
      <c r="E82" s="99">
        <v>45978</v>
      </c>
      <c r="F82" s="94">
        <v>26068.15</v>
      </c>
      <c r="H82" s="99">
        <v>45978</v>
      </c>
      <c r="I82" s="94">
        <v>1273.82</v>
      </c>
      <c r="J82" s="99"/>
      <c r="K82" s="99">
        <v>45978</v>
      </c>
      <c r="L82" s="59">
        <v>739.9</v>
      </c>
      <c r="M82" s="147"/>
      <c r="N82" s="59" t="s">
        <v>407</v>
      </c>
      <c r="O82" s="94">
        <v>1145.02</v>
      </c>
      <c r="P82" s="99">
        <f>DATE(RIGHT(N82,4),MATCH(LEFT(N82,3),{"Jan","Feb","Mar","Apr","May","Jun","Jul","Aug","Sep","Oct","Nov","Dec"},0),MID(N82,5,2))</f>
        <v>45607</v>
      </c>
      <c r="R82" s="59" t="s">
        <v>407</v>
      </c>
      <c r="S82" s="59">
        <v>618.28</v>
      </c>
      <c r="T82" s="99">
        <f>DATE(RIGHT(R82,4),MATCH(LEFT(R82,3),{"Jan","Feb","Mar","Apr","May","Jun","Jul","Aug","Sep","Oct","Nov","Dec"},0),MID(R82,5,2))</f>
        <v>45607</v>
      </c>
      <c r="V82" s="59" t="s">
        <v>407</v>
      </c>
      <c r="W82" s="59">
        <v>500.41</v>
      </c>
      <c r="X82" s="99">
        <f>DATE(RIGHT(V82,4),MATCH(LEFT(V82,3),{"Jan","Feb","Mar","Apr","May","Jun","Jul","Aug","Sep","Oct","Nov","Dec"},0),MID(V82,5,2))</f>
        <v>45607</v>
      </c>
    </row>
    <row r="83" spans="1:24" x14ac:dyDescent="0.3">
      <c r="A83" s="99"/>
      <c r="B83" s="99">
        <v>45985</v>
      </c>
      <c r="C83" s="61">
        <v>2466.6</v>
      </c>
      <c r="D83" s="99"/>
      <c r="E83" s="99">
        <v>45985</v>
      </c>
      <c r="F83" s="94">
        <v>26202.95</v>
      </c>
      <c r="H83" s="99">
        <v>45985</v>
      </c>
      <c r="I83" s="94">
        <v>1254.33</v>
      </c>
      <c r="J83" s="99"/>
      <c r="K83" s="99">
        <v>45985</v>
      </c>
      <c r="L83" s="59">
        <v>717.4</v>
      </c>
      <c r="M83" s="147"/>
      <c r="N83" s="59" t="s">
        <v>408</v>
      </c>
      <c r="O83" s="94">
        <v>1219.03</v>
      </c>
      <c r="P83" s="99">
        <v>45600</v>
      </c>
      <c r="R83" s="59" t="s">
        <v>408</v>
      </c>
      <c r="S83" s="59">
        <v>644.24</v>
      </c>
      <c r="T83" s="99">
        <v>45600</v>
      </c>
      <c r="V83" s="59" t="s">
        <v>408</v>
      </c>
      <c r="W83" s="59">
        <v>520.77</v>
      </c>
      <c r="X83" s="99">
        <v>45600</v>
      </c>
    </row>
    <row r="84" spans="1:24" x14ac:dyDescent="0.3">
      <c r="A84" s="99"/>
      <c r="B84" s="99">
        <v>45992</v>
      </c>
      <c r="C84" s="61">
        <v>2338.6</v>
      </c>
      <c r="D84" s="99"/>
      <c r="E84" s="99">
        <v>45992</v>
      </c>
      <c r="F84" s="94">
        <v>26186.45</v>
      </c>
      <c r="H84" s="99">
        <v>45992</v>
      </c>
      <c r="I84" s="94">
        <v>1240.2</v>
      </c>
      <c r="J84" s="99"/>
      <c r="K84" s="99">
        <v>45992</v>
      </c>
      <c r="L84" s="59">
        <v>736.65</v>
      </c>
      <c r="M84" s="147"/>
      <c r="N84" s="59" t="s">
        <v>409</v>
      </c>
      <c r="O84" s="94">
        <v>1237.68</v>
      </c>
      <c r="P84" s="99">
        <f>DATE(RIGHT(N84,4),MATCH(LEFT(N84,3),{"Jan","Feb","Mar","Apr","May","Jun","Jul","Aug","Sep","Oct","Nov","Dec"},0),MID(N84,5,2))</f>
        <v>45593</v>
      </c>
      <c r="R84" s="59" t="s">
        <v>409</v>
      </c>
      <c r="S84" s="59">
        <v>689.06</v>
      </c>
      <c r="T84" s="99">
        <f>DATE(RIGHT(R84,4),MATCH(LEFT(R84,3),{"Jan","Feb","Mar","Apr","May","Jun","Jul","Aug","Sep","Oct","Nov","Dec"},0),MID(R84,5,2))</f>
        <v>45593</v>
      </c>
      <c r="V84" s="59" t="s">
        <v>409</v>
      </c>
      <c r="W84" s="59">
        <v>531.59</v>
      </c>
      <c r="X84" s="99">
        <f>DATE(RIGHT(V84,4),MATCH(LEFT(V84,3),{"Jan","Feb","Mar","Apr","May","Jun","Jul","Aug","Sep","Oct","Nov","Dec"},0),MID(V84,5,2))</f>
        <v>45593</v>
      </c>
    </row>
    <row r="85" spans="1:24" x14ac:dyDescent="0.3">
      <c r="A85" s="99"/>
      <c r="B85" s="99">
        <v>45999</v>
      </c>
      <c r="C85" s="61">
        <v>2260.6</v>
      </c>
      <c r="D85" s="99"/>
      <c r="E85" s="99">
        <v>45999</v>
      </c>
      <c r="F85" s="94">
        <v>26046.95</v>
      </c>
      <c r="H85" s="99">
        <v>45999</v>
      </c>
      <c r="I85" s="94">
        <v>1231.6500000000001</v>
      </c>
      <c r="J85" s="99"/>
      <c r="K85" s="99">
        <v>45999</v>
      </c>
      <c r="L85" s="59">
        <v>727.05</v>
      </c>
      <c r="M85" s="147"/>
      <c r="N85" s="59" t="s">
        <v>410</v>
      </c>
      <c r="O85" s="94">
        <v>1253.3599999999999</v>
      </c>
      <c r="P85" s="99">
        <f>DATE(RIGHT(N85,4),MATCH(LEFT(N85,3),{"Jan","Feb","Mar","Apr","May","Jun","Jul","Aug","Sep","Oct","Nov","Dec"},0),MID(N85,5,2))</f>
        <v>45586</v>
      </c>
      <c r="R85" s="59" t="s">
        <v>410</v>
      </c>
      <c r="S85" s="59">
        <v>620.82000000000005</v>
      </c>
      <c r="T85" s="99">
        <f>DATE(RIGHT(R85,4),MATCH(LEFT(R85,3),{"Jan","Feb","Mar","Apr","May","Jun","Jul","Aug","Sep","Oct","Nov","Dec"},0),MID(R85,5,2))</f>
        <v>45586</v>
      </c>
      <c r="V85" s="59" t="s">
        <v>410</v>
      </c>
      <c r="W85" s="59">
        <v>527.82000000000005</v>
      </c>
      <c r="X85" s="99">
        <f>DATE(RIGHT(V85,4),MATCH(LEFT(V85,3),{"Jan","Feb","Mar","Apr","May","Jun","Jul","Aug","Sep","Oct","Nov","Dec"},0),MID(V85,5,2))</f>
        <v>45586</v>
      </c>
    </row>
    <row r="86" spans="1:24" x14ac:dyDescent="0.3">
      <c r="A86" s="99"/>
      <c r="B86" s="99">
        <v>46006</v>
      </c>
      <c r="C86" s="61">
        <v>2280</v>
      </c>
      <c r="D86" s="99"/>
      <c r="E86" s="99">
        <v>46006</v>
      </c>
      <c r="F86" s="94">
        <v>25966.400000000001</v>
      </c>
      <c r="H86" s="99">
        <v>46006</v>
      </c>
      <c r="I86" s="94">
        <v>1237.72</v>
      </c>
      <c r="J86" s="99"/>
      <c r="K86" s="99">
        <v>46006</v>
      </c>
      <c r="L86" s="59">
        <v>741.2</v>
      </c>
      <c r="M86" s="147"/>
      <c r="N86" s="59" t="s">
        <v>411</v>
      </c>
      <c r="O86" s="94">
        <v>1296.94</v>
      </c>
      <c r="P86" s="99">
        <f>DATE(RIGHT(N86,4),MATCH(LEFT(N86,3),{"Jan","Feb","Mar","Apr","May","Jun","Jul","Aug","Sep","Oct","Nov","Dec"},0),MID(N86,5,2))</f>
        <v>45579</v>
      </c>
      <c r="R86" s="59" t="s">
        <v>411</v>
      </c>
      <c r="S86" s="59">
        <v>674.06</v>
      </c>
      <c r="T86" s="99">
        <f>DATE(RIGHT(R86,4),MATCH(LEFT(R86,3),{"Jan","Feb","Mar","Apr","May","Jun","Jul","Aug","Sep","Oct","Nov","Dec"},0),MID(R86,5,2))</f>
        <v>45579</v>
      </c>
      <c r="V86" s="59" t="s">
        <v>411</v>
      </c>
      <c r="W86" s="59">
        <v>559.86</v>
      </c>
      <c r="X86" s="99">
        <f>DATE(RIGHT(V86,4),MATCH(LEFT(V86,3),{"Jan","Feb","Mar","Apr","May","Jun","Jul","Aug","Sep","Oct","Nov","Dec"},0),MID(V86,5,2))</f>
        <v>45579</v>
      </c>
    </row>
    <row r="87" spans="1:24" x14ac:dyDescent="0.3">
      <c r="A87" s="99"/>
      <c r="B87" s="99">
        <v>46013</v>
      </c>
      <c r="C87" s="61">
        <v>2285.4</v>
      </c>
      <c r="D87" s="99"/>
      <c r="E87" s="99">
        <v>46013</v>
      </c>
      <c r="F87" s="94">
        <v>26042.3</v>
      </c>
      <c r="H87" s="99">
        <v>46013</v>
      </c>
      <c r="I87" s="94">
        <v>1265.77</v>
      </c>
      <c r="J87" s="99"/>
      <c r="K87" s="99">
        <v>46013</v>
      </c>
      <c r="L87" s="59">
        <v>743.3</v>
      </c>
      <c r="M87" s="147"/>
      <c r="N87" s="59" t="s">
        <v>412</v>
      </c>
      <c r="O87" s="94">
        <v>1277.0899999999999</v>
      </c>
      <c r="P87" s="99">
        <v>45572</v>
      </c>
      <c r="R87" s="59" t="s">
        <v>412</v>
      </c>
      <c r="S87" s="59">
        <v>702.34</v>
      </c>
      <c r="T87" s="99">
        <v>45572</v>
      </c>
      <c r="V87" s="59" t="s">
        <v>412</v>
      </c>
      <c r="W87" s="59">
        <v>559.32000000000005</v>
      </c>
      <c r="X87" s="99">
        <v>45572</v>
      </c>
    </row>
    <row r="88" spans="1:24" x14ac:dyDescent="0.3">
      <c r="A88" s="99"/>
      <c r="B88" s="99">
        <v>46020</v>
      </c>
      <c r="C88" s="61">
        <v>2348</v>
      </c>
      <c r="D88" s="99"/>
      <c r="E88" s="99">
        <v>46020</v>
      </c>
      <c r="F88" s="94">
        <v>26328.55</v>
      </c>
      <c r="H88" s="99">
        <v>46020</v>
      </c>
      <c r="I88" s="94">
        <v>1272.83</v>
      </c>
      <c r="J88" s="99"/>
      <c r="K88" s="99">
        <v>46020</v>
      </c>
      <c r="L88" s="59">
        <v>757.75</v>
      </c>
      <c r="M88" s="147"/>
      <c r="N88" s="59" t="s">
        <v>413</v>
      </c>
      <c r="O88" s="94">
        <v>1303.83</v>
      </c>
      <c r="P88" s="99">
        <f>DATE(RIGHT(N88,4),MATCH(LEFT(N88,3),{"Jan","Feb","Mar","Apr","May","Jun","Jul","Aug","Sep","Oct","Nov","Dec"},0),MID(N88,5,2))</f>
        <v>45565</v>
      </c>
      <c r="R88" s="59" t="s">
        <v>413</v>
      </c>
      <c r="S88" s="59">
        <v>714.45</v>
      </c>
      <c r="T88" s="99">
        <f>DATE(RIGHT(R88,4),MATCH(LEFT(R88,3),{"Jan","Feb","Mar","Apr","May","Jun","Jul","Aug","Sep","Oct","Nov","Dec"},0),MID(R88,5,2))</f>
        <v>45565</v>
      </c>
      <c r="V88" s="59" t="s">
        <v>413</v>
      </c>
      <c r="W88" s="59">
        <v>560.89</v>
      </c>
      <c r="X88" s="99">
        <f>DATE(RIGHT(V88,4),MATCH(LEFT(V88,3),{"Jan","Feb","Mar","Apr","May","Jun","Jul","Aug","Sep","Oct","Nov","Dec"},0),MID(V88,5,2))</f>
        <v>45565</v>
      </c>
    </row>
    <row r="89" spans="1:24" x14ac:dyDescent="0.3">
      <c r="A89" s="99"/>
      <c r="B89" s="99">
        <v>46027</v>
      </c>
      <c r="C89" s="61">
        <v>2372.6</v>
      </c>
      <c r="D89" s="99"/>
      <c r="E89" s="99">
        <v>46027</v>
      </c>
      <c r="F89" s="94">
        <v>25683.3</v>
      </c>
      <c r="H89" s="99">
        <v>46027</v>
      </c>
      <c r="I89" s="94">
        <v>1292.1199999999999</v>
      </c>
      <c r="J89" s="99"/>
      <c r="K89" s="99">
        <v>46027</v>
      </c>
      <c r="L89" s="59">
        <v>753.45</v>
      </c>
      <c r="M89" s="147"/>
      <c r="N89" s="59" t="s">
        <v>414</v>
      </c>
      <c r="O89" s="94">
        <v>1347.9</v>
      </c>
      <c r="P89" s="99">
        <f>DATE(RIGHT(N89,4),MATCH(LEFT(N89,3),{"Jan","Feb","Mar","Apr","May","Jun","Jul","Aug","Sep","Oct","Nov","Dec"},0),MID(N89,5,2))</f>
        <v>45558</v>
      </c>
      <c r="R89" s="59" t="s">
        <v>414</v>
      </c>
      <c r="S89" s="59">
        <v>722.92</v>
      </c>
      <c r="T89" s="99">
        <f>DATE(RIGHT(R89,4),MATCH(LEFT(R89,3),{"Jan","Feb","Mar","Apr","May","Jun","Jul","Aug","Sep","Oct","Nov","Dec"},0),MID(R89,5,2))</f>
        <v>45558</v>
      </c>
      <c r="V89" s="59" t="s">
        <v>414</v>
      </c>
      <c r="W89" s="59">
        <v>620.22</v>
      </c>
      <c r="X89" s="99">
        <f>DATE(RIGHT(V89,4),MATCH(LEFT(V89,3),{"Jan","Feb","Mar","Apr","May","Jun","Jul","Aug","Sep","Oct","Nov","Dec"},0),MID(V89,5,2))</f>
        <v>45558</v>
      </c>
    </row>
    <row r="90" spans="1:24" x14ac:dyDescent="0.3">
      <c r="A90" s="99"/>
      <c r="B90" s="99">
        <v>46034</v>
      </c>
      <c r="C90" s="61">
        <v>2360.4</v>
      </c>
      <c r="D90" s="99"/>
      <c r="E90" s="99">
        <v>46034</v>
      </c>
      <c r="F90" s="94">
        <v>25694.35</v>
      </c>
      <c r="H90" s="99">
        <v>46034</v>
      </c>
      <c r="I90" s="94">
        <v>1308.83</v>
      </c>
      <c r="J90" s="99"/>
      <c r="K90" s="99">
        <v>46034</v>
      </c>
      <c r="L90" s="59">
        <v>760.15</v>
      </c>
      <c r="M90" s="147"/>
      <c r="N90" s="59" t="s">
        <v>415</v>
      </c>
      <c r="O90" s="94">
        <v>1413.86</v>
      </c>
      <c r="P90" s="99">
        <f>DATE(RIGHT(N90,4),MATCH(LEFT(N90,3),{"Jan","Feb","Mar","Apr","May","Jun","Jul","Aug","Sep","Oct","Nov","Dec"},0),MID(N90,5,2))</f>
        <v>45551</v>
      </c>
      <c r="R90" s="59" t="s">
        <v>415</v>
      </c>
      <c r="S90" s="59">
        <v>718.97</v>
      </c>
      <c r="T90" s="99">
        <f>DATE(RIGHT(R90,4),MATCH(LEFT(R90,3),{"Jan","Feb","Mar","Apr","May","Jun","Jul","Aug","Sep","Oct","Nov","Dec"},0),MID(R90,5,2))</f>
        <v>45551</v>
      </c>
      <c r="V90" s="59" t="s">
        <v>415</v>
      </c>
      <c r="W90" s="59">
        <v>654.07000000000005</v>
      </c>
      <c r="X90" s="99">
        <f>DATE(RIGHT(V90,4),MATCH(LEFT(V90,3),{"Jan","Feb","Mar","Apr","May","Jun","Jul","Aug","Sep","Oct","Nov","Dec"},0),MID(V90,5,2))</f>
        <v>45551</v>
      </c>
    </row>
    <row r="91" spans="1:24" x14ac:dyDescent="0.3">
      <c r="A91" s="99"/>
      <c r="B91" s="99">
        <v>46041</v>
      </c>
      <c r="C91" s="61">
        <v>2409.5</v>
      </c>
      <c r="D91" s="99"/>
      <c r="E91" s="99">
        <v>46041</v>
      </c>
      <c r="F91" s="94">
        <v>25048.65</v>
      </c>
      <c r="H91" s="99">
        <v>46041</v>
      </c>
      <c r="I91" s="94">
        <v>1286.8499999999999</v>
      </c>
      <c r="J91" s="99"/>
      <c r="K91" s="99">
        <v>46041</v>
      </c>
      <c r="L91" s="59">
        <v>740.95</v>
      </c>
      <c r="M91" s="147"/>
      <c r="N91" s="59" t="s">
        <v>416</v>
      </c>
      <c r="O91" s="94">
        <v>1447.54</v>
      </c>
      <c r="P91" s="99">
        <v>45544</v>
      </c>
      <c r="R91" s="59" t="s">
        <v>416</v>
      </c>
      <c r="S91" s="59">
        <v>757.93</v>
      </c>
      <c r="T91" s="99">
        <v>45544</v>
      </c>
      <c r="V91" s="59" t="s">
        <v>416</v>
      </c>
      <c r="W91" s="59">
        <v>647.54999999999995</v>
      </c>
      <c r="X91" s="99">
        <v>45544</v>
      </c>
    </row>
    <row r="92" spans="1:24" x14ac:dyDescent="0.3">
      <c r="A92" s="99"/>
      <c r="B92" s="99">
        <v>46048</v>
      </c>
      <c r="C92" s="61">
        <v>2350.6999999999998</v>
      </c>
      <c r="D92" s="99"/>
      <c r="E92" s="99">
        <v>46048</v>
      </c>
      <c r="F92" s="94">
        <v>24825.45</v>
      </c>
      <c r="H92" s="99">
        <v>46048</v>
      </c>
      <c r="I92" s="94">
        <v>1275.6099999999999</v>
      </c>
      <c r="J92" s="99"/>
      <c r="K92" s="99">
        <v>46048</v>
      </c>
      <c r="L92" s="59">
        <v>720.65</v>
      </c>
      <c r="M92" s="147"/>
      <c r="N92" s="59" t="s">
        <v>417</v>
      </c>
      <c r="O92" s="94">
        <v>1401.09</v>
      </c>
      <c r="P92" s="99">
        <v>45537</v>
      </c>
      <c r="R92" s="59" t="s">
        <v>417</v>
      </c>
      <c r="S92" s="59">
        <v>800.87</v>
      </c>
      <c r="T92" s="99">
        <v>45537</v>
      </c>
      <c r="V92" s="59" t="s">
        <v>417</v>
      </c>
      <c r="W92" s="59">
        <v>631.39</v>
      </c>
      <c r="X92" s="99">
        <v>45537</v>
      </c>
    </row>
    <row r="93" spans="1:24" x14ac:dyDescent="0.3">
      <c r="A93" s="99"/>
      <c r="B93" s="99">
        <v>46055</v>
      </c>
      <c r="C93" s="61">
        <v>2424.1999999999998</v>
      </c>
      <c r="D93" s="99"/>
      <c r="E93" s="99">
        <v>46055</v>
      </c>
      <c r="F93" s="94">
        <v>25693.7</v>
      </c>
      <c r="H93" s="99">
        <v>46055</v>
      </c>
      <c r="I93" s="94">
        <v>1296.3</v>
      </c>
      <c r="J93" s="99"/>
      <c r="K93" s="99">
        <v>46055</v>
      </c>
      <c r="L93" s="59">
        <v>752.75</v>
      </c>
      <c r="M93" s="147"/>
      <c r="N93" s="59" t="s">
        <v>418</v>
      </c>
      <c r="O93" s="94">
        <v>1437.73</v>
      </c>
      <c r="P93" s="99">
        <f>DATE(RIGHT(N93,4),MATCH(LEFT(N93,3),{"Jan","Feb","Mar","Apr","May","Jun","Jul","Aug","Sep","Oct","Nov","Dec"},0),MID(N93,5,2))</f>
        <v>45530</v>
      </c>
      <c r="R93" s="59" t="s">
        <v>418</v>
      </c>
      <c r="S93" s="59">
        <v>782.11</v>
      </c>
      <c r="T93" s="99">
        <f>DATE(RIGHT(R93,4),MATCH(LEFT(R93,3),{"Jan","Feb","Mar","Apr","May","Jun","Jul","Aug","Sep","Oct","Nov","Dec"},0),MID(R93,5,2))</f>
        <v>45530</v>
      </c>
      <c r="V93" s="59" t="s">
        <v>418</v>
      </c>
      <c r="W93" s="59">
        <v>624.28</v>
      </c>
      <c r="X93" s="99">
        <f>DATE(RIGHT(V93,4),MATCH(LEFT(V93,3),{"Jan","Feb","Mar","Apr","May","Jun","Jul","Aug","Sep","Oct","Nov","Dec"},0),MID(V93,5,2))</f>
        <v>45530</v>
      </c>
    </row>
    <row r="94" spans="1:24" x14ac:dyDescent="0.3">
      <c r="A94" s="99"/>
      <c r="B94" s="99">
        <v>46062</v>
      </c>
      <c r="C94" s="61">
        <v>2305.1999999999998</v>
      </c>
      <c r="D94" s="99"/>
      <c r="E94" s="99">
        <v>46062</v>
      </c>
      <c r="F94" s="94">
        <v>25471.1</v>
      </c>
      <c r="H94" s="99">
        <v>46062</v>
      </c>
      <c r="I94" s="94">
        <v>1282.5999999999999</v>
      </c>
      <c r="J94" s="99"/>
      <c r="K94" s="99">
        <v>46062</v>
      </c>
      <c r="L94" s="59">
        <v>760.15</v>
      </c>
      <c r="M94" s="147"/>
      <c r="N94" s="59" t="s">
        <v>419</v>
      </c>
      <c r="O94" s="94">
        <v>1386.43</v>
      </c>
      <c r="P94" s="99">
        <f>DATE(RIGHT(N94,4),MATCH(LEFT(N94,3),{"Jan","Feb","Mar","Apr","May","Jun","Jul","Aug","Sep","Oct","Nov","Dec"},0),MID(N94,5,2))</f>
        <v>45523</v>
      </c>
      <c r="R94" s="59" t="s">
        <v>419</v>
      </c>
      <c r="S94" s="59">
        <v>778.17</v>
      </c>
      <c r="T94" s="99">
        <f>DATE(RIGHT(R94,4),MATCH(LEFT(R94,3),{"Jan","Feb","Mar","Apr","May","Jun","Jul","Aug","Sep","Oct","Nov","Dec"},0),MID(R94,5,2))</f>
        <v>45523</v>
      </c>
      <c r="V94" s="59" t="s">
        <v>419</v>
      </c>
      <c r="W94" s="59">
        <v>630.26</v>
      </c>
      <c r="X94" s="99">
        <f>DATE(RIGHT(V94,4),MATCH(LEFT(V94,3),{"Jan","Feb","Mar","Apr","May","Jun","Jul","Aug","Sep","Oct","Nov","Dec"},0),MID(V94,5,2))</f>
        <v>45523</v>
      </c>
    </row>
    <row r="95" spans="1:24" x14ac:dyDescent="0.3">
      <c r="A95" s="99"/>
      <c r="B95" s="99">
        <v>46069</v>
      </c>
      <c r="C95" s="61">
        <v>2314.5</v>
      </c>
      <c r="D95" s="99"/>
      <c r="E95" s="99">
        <v>46069</v>
      </c>
      <c r="F95" s="94">
        <v>25571.25</v>
      </c>
      <c r="H95" s="99">
        <v>46069</v>
      </c>
      <c r="I95" s="94">
        <v>1293.8</v>
      </c>
      <c r="J95" s="99"/>
      <c r="K95" s="99">
        <v>46069</v>
      </c>
      <c r="L95" s="59">
        <v>788.2</v>
      </c>
      <c r="M95" s="147"/>
      <c r="N95" s="59" t="s">
        <v>420</v>
      </c>
      <c r="O95" s="94">
        <v>1358.84</v>
      </c>
      <c r="P95" s="99">
        <f>DATE(RIGHT(N95,4),MATCH(LEFT(N95,3),{"Jan","Feb","Mar","Apr","May","Jun","Jul","Aug","Sep","Oct","Nov","Dec"},0),MID(N95,5,2))</f>
        <v>45516</v>
      </c>
      <c r="R95" s="59" t="s">
        <v>420</v>
      </c>
      <c r="S95" s="59">
        <v>792.84</v>
      </c>
      <c r="T95" s="99">
        <f>DATE(RIGHT(R95,4),MATCH(LEFT(R95,3),{"Jan","Feb","Mar","Apr","May","Jun","Jul","Aug","Sep","Oct","Nov","Dec"},0),MID(R95,5,2))</f>
        <v>45516</v>
      </c>
      <c r="V95" s="59" t="s">
        <v>420</v>
      </c>
      <c r="W95" s="59">
        <v>605.13</v>
      </c>
      <c r="X95" s="99">
        <f>DATE(RIGHT(V95,4),MATCH(LEFT(V95,3),{"Jan","Feb","Mar","Apr","May","Jun","Jul","Aug","Sep","Oct","Nov","Dec"},0),MID(V95,5,2))</f>
        <v>45516</v>
      </c>
    </row>
    <row r="96" spans="1:24" x14ac:dyDescent="0.3">
      <c r="A96" s="99"/>
      <c r="B96" s="99">
        <v>46076</v>
      </c>
      <c r="C96" s="61">
        <v>2338.1</v>
      </c>
      <c r="D96" s="99"/>
      <c r="E96" s="99">
        <v>46076</v>
      </c>
      <c r="F96" s="94">
        <v>25178.65</v>
      </c>
      <c r="H96" s="99">
        <v>46076</v>
      </c>
      <c r="I96" s="94">
        <v>1291.7</v>
      </c>
      <c r="J96" s="99"/>
      <c r="K96" s="99">
        <v>46076</v>
      </c>
      <c r="L96" s="59">
        <v>788.65</v>
      </c>
      <c r="M96" s="147"/>
      <c r="N96" s="59" t="s">
        <v>421</v>
      </c>
      <c r="O96" s="94">
        <v>1397.29</v>
      </c>
      <c r="P96" s="99">
        <v>45509</v>
      </c>
      <c r="R96" s="59" t="s">
        <v>421</v>
      </c>
      <c r="S96" s="59">
        <v>767.01</v>
      </c>
      <c r="T96" s="99">
        <v>45509</v>
      </c>
      <c r="V96" s="59" t="s">
        <v>421</v>
      </c>
      <c r="W96" s="59">
        <v>611.35</v>
      </c>
      <c r="X96" s="99">
        <v>45509</v>
      </c>
    </row>
    <row r="97" spans="1:24" x14ac:dyDescent="0.3">
      <c r="A97" s="99"/>
      <c r="B97" s="99">
        <v>46083</v>
      </c>
      <c r="C97" s="61">
        <v>2225.6999999999998</v>
      </c>
      <c r="D97" s="99"/>
      <c r="E97" s="99">
        <v>46083</v>
      </c>
      <c r="F97" s="94">
        <v>24450.45</v>
      </c>
      <c r="H97" s="99">
        <v>46083</v>
      </c>
      <c r="I97" s="94">
        <v>1252.4000000000001</v>
      </c>
      <c r="J97" s="99"/>
      <c r="K97" s="99">
        <v>46083</v>
      </c>
      <c r="L97" s="59">
        <v>785.25</v>
      </c>
      <c r="M97" s="147"/>
      <c r="N97" s="59" t="s">
        <v>422</v>
      </c>
      <c r="O97" s="94">
        <v>1411.17</v>
      </c>
      <c r="P97" s="99">
        <f>DATE(RIGHT(N97,4),MATCH(LEFT(N97,3),{"Jan","Feb","Mar","Apr","May","Jun","Jul","Aug","Sep","Oct","Nov","Dec"},0),MID(N97,5,2))</f>
        <v>45502</v>
      </c>
      <c r="R97" s="59" t="s">
        <v>422</v>
      </c>
      <c r="S97" s="59">
        <v>749.46</v>
      </c>
      <c r="T97" s="99">
        <f>DATE(RIGHT(R97,4),MATCH(LEFT(R97,3),{"Jan","Feb","Mar","Apr","May","Jun","Jul","Aug","Sep","Oct","Nov","Dec"},0),MID(R97,5,2))</f>
        <v>45502</v>
      </c>
      <c r="V97" s="59" t="s">
        <v>422</v>
      </c>
      <c r="W97" s="59">
        <v>614.88</v>
      </c>
      <c r="X97" s="99">
        <f>DATE(RIGHT(V97,4),MATCH(LEFT(V97,3),{"Jan","Feb","Mar","Apr","May","Jun","Jul","Aug","Sep","Oct","Nov","Dec"},0),MID(V97,5,2))</f>
        <v>45502</v>
      </c>
    </row>
    <row r="98" spans="1:24" x14ac:dyDescent="0.3">
      <c r="A98" s="99"/>
      <c r="B98" s="99">
        <v>46090</v>
      </c>
      <c r="C98" s="61">
        <v>2160</v>
      </c>
      <c r="D98" s="99"/>
      <c r="E98" s="99">
        <v>46090</v>
      </c>
      <c r="F98" s="94">
        <v>23151.1</v>
      </c>
      <c r="H98" s="99">
        <v>46090</v>
      </c>
      <c r="I98" s="94">
        <v>1202.2</v>
      </c>
      <c r="J98" s="99"/>
      <c r="K98" s="99">
        <v>46090</v>
      </c>
      <c r="L98" s="59">
        <v>752.4</v>
      </c>
      <c r="M98" s="147"/>
      <c r="N98" s="59" t="s">
        <v>423</v>
      </c>
      <c r="O98" s="94">
        <v>1419.24</v>
      </c>
      <c r="P98" s="99">
        <f>DATE(RIGHT(N98,4),MATCH(LEFT(N98,3),{"Jan","Feb","Mar","Apr","May","Jun","Jul","Aug","Sep","Oct","Nov","Dec"},0),MID(N98,5,2))</f>
        <v>45495</v>
      </c>
      <c r="R98" s="59" t="s">
        <v>423</v>
      </c>
      <c r="S98" s="59">
        <v>766.63</v>
      </c>
      <c r="T98" s="99">
        <f>DATE(RIGHT(R98,4),MATCH(LEFT(R98,3),{"Jan","Feb","Mar","Apr","May","Jun","Jul","Aug","Sep","Oct","Nov","Dec"},0),MID(R98,5,2))</f>
        <v>45495</v>
      </c>
      <c r="V98" s="59" t="s">
        <v>423</v>
      </c>
      <c r="W98" s="59">
        <v>619.67999999999995</v>
      </c>
      <c r="X98" s="99">
        <f>DATE(RIGHT(V98,4),MATCH(LEFT(V98,3),{"Jan","Feb","Mar","Apr","May","Jun","Jul","Aug","Sep","Oct","Nov","Dec"},0),MID(V98,5,2))</f>
        <v>45495</v>
      </c>
    </row>
    <row r="99" spans="1:24" x14ac:dyDescent="0.3">
      <c r="A99" s="99"/>
      <c r="B99" s="99">
        <v>46097</v>
      </c>
      <c r="C99" s="61">
        <v>2082.6999999999998</v>
      </c>
      <c r="D99" s="99"/>
      <c r="E99" s="99">
        <v>46097</v>
      </c>
      <c r="F99" s="94">
        <v>23114.5</v>
      </c>
      <c r="H99" s="99">
        <v>46097</v>
      </c>
      <c r="I99" s="94">
        <v>1193.5999999999999</v>
      </c>
      <c r="J99" s="99"/>
      <c r="K99" s="99">
        <v>46097</v>
      </c>
      <c r="L99" s="59">
        <v>744.3</v>
      </c>
      <c r="M99" s="147"/>
      <c r="N99" s="59" t="s">
        <v>424</v>
      </c>
      <c r="O99" s="94">
        <v>1404.15</v>
      </c>
      <c r="P99" s="99">
        <f>DATE(RIGHT(N99,4),MATCH(LEFT(N99,3),{"Jan","Feb","Mar","Apr","May","Jun","Jul","Aug","Sep","Oct","Nov","Dec"},0),MID(N99,5,2))</f>
        <v>45488</v>
      </c>
      <c r="R99" s="59" t="s">
        <v>424</v>
      </c>
      <c r="S99" s="59">
        <v>769.23</v>
      </c>
      <c r="T99" s="99">
        <f>DATE(RIGHT(R99,4),MATCH(LEFT(R99,3),{"Jan","Feb","Mar","Apr","May","Jun","Jul","Aug","Sep","Oct","Nov","Dec"},0),MID(R99,5,2))</f>
        <v>45488</v>
      </c>
      <c r="V99" s="59" t="s">
        <v>424</v>
      </c>
      <c r="W99" s="59">
        <v>617.47</v>
      </c>
      <c r="X99" s="99">
        <f>DATE(RIGHT(V99,4),MATCH(LEFT(V99,3),{"Jan","Feb","Mar","Apr","May","Jun","Jul","Aug","Sep","Oct","Nov","Dec"},0),MID(V99,5,2))</f>
        <v>45488</v>
      </c>
    </row>
    <row r="100" spans="1:24" x14ac:dyDescent="0.3">
      <c r="A100" s="99"/>
      <c r="B100" s="99">
        <v>46104</v>
      </c>
      <c r="C100" s="61">
        <v>2074.4</v>
      </c>
      <c r="D100" s="99"/>
      <c r="E100" s="99">
        <v>46104</v>
      </c>
      <c r="F100" s="94">
        <v>22819.599999999999</v>
      </c>
      <c r="H100" s="99">
        <v>46104</v>
      </c>
      <c r="I100" s="94">
        <v>1193.2</v>
      </c>
      <c r="J100" s="99"/>
      <c r="K100" s="99">
        <v>46104</v>
      </c>
      <c r="L100" s="59">
        <v>742.45</v>
      </c>
      <c r="M100" s="147"/>
      <c r="N100" s="59" t="s">
        <v>425</v>
      </c>
      <c r="O100" s="94">
        <v>1396.42</v>
      </c>
      <c r="P100" s="99">
        <v>45481</v>
      </c>
      <c r="R100" s="59" t="s">
        <v>425</v>
      </c>
      <c r="S100" s="59">
        <v>734.36</v>
      </c>
      <c r="T100" s="99">
        <v>45481</v>
      </c>
      <c r="V100" s="59" t="s">
        <v>425</v>
      </c>
      <c r="W100" s="59">
        <v>614.64</v>
      </c>
      <c r="X100" s="99">
        <v>45481</v>
      </c>
    </row>
    <row r="101" spans="1:24" x14ac:dyDescent="0.3">
      <c r="A101" s="99"/>
      <c r="B101" s="99">
        <v>46111</v>
      </c>
      <c r="C101" s="61">
        <v>2065.3000000000002</v>
      </c>
      <c r="D101" s="99"/>
      <c r="E101" s="99">
        <v>46111</v>
      </c>
      <c r="F101" s="94">
        <v>22713.1</v>
      </c>
      <c r="H101" s="99">
        <v>46111</v>
      </c>
      <c r="I101" s="94">
        <v>1191.3</v>
      </c>
      <c r="J101" s="99"/>
      <c r="K101" s="99">
        <v>46111</v>
      </c>
      <c r="L101" s="59">
        <v>761.35</v>
      </c>
      <c r="M101" s="147"/>
      <c r="N101" s="59" t="s">
        <v>426</v>
      </c>
      <c r="O101" s="94">
        <v>1328.62</v>
      </c>
      <c r="P101" s="99">
        <v>45474</v>
      </c>
      <c r="R101" s="59" t="s">
        <v>426</v>
      </c>
      <c r="S101" s="59">
        <v>696.52</v>
      </c>
      <c r="T101" s="99">
        <v>45474</v>
      </c>
      <c r="V101" s="59" t="s">
        <v>426</v>
      </c>
      <c r="W101" s="59">
        <v>591.66999999999996</v>
      </c>
      <c r="X101" s="99">
        <v>45474</v>
      </c>
    </row>
    <row r="102" spans="1:24" x14ac:dyDescent="0.3">
      <c r="A102" s="99"/>
      <c r="B102" s="99">
        <v>46118</v>
      </c>
      <c r="C102" s="61">
        <v>2155.3000000000002</v>
      </c>
      <c r="D102" s="99"/>
      <c r="E102" s="99">
        <v>46118</v>
      </c>
      <c r="F102" s="94">
        <v>24050.6</v>
      </c>
      <c r="H102" s="99">
        <v>46118</v>
      </c>
      <c r="I102" s="94">
        <v>1249.3</v>
      </c>
      <c r="J102" s="99"/>
      <c r="K102" s="99">
        <v>46118</v>
      </c>
      <c r="L102" s="59">
        <v>763.25</v>
      </c>
      <c r="M102" s="147"/>
      <c r="N102" s="59" t="s">
        <v>427</v>
      </c>
      <c r="O102" s="94">
        <v>1330.6</v>
      </c>
      <c r="P102" s="99">
        <f>DATE(RIGHT(N102,4),MATCH(LEFT(N102,3),{"Jan","Feb","Mar","Apr","May","Jun","Jul","Aug","Sep","Oct","Nov","Dec"},0),MID(N102,5,2))</f>
        <v>45467</v>
      </c>
      <c r="R102" s="59" t="s">
        <v>427</v>
      </c>
      <c r="S102" s="59">
        <v>662.95</v>
      </c>
      <c r="T102" s="99">
        <f>DATE(RIGHT(R102,4),MATCH(LEFT(R102,3),{"Jan","Feb","Mar","Apr","May","Jun","Jul","Aug","Sep","Oct","Nov","Dec"},0),MID(R102,5,2))</f>
        <v>45467</v>
      </c>
      <c r="V102" s="59" t="s">
        <v>427</v>
      </c>
      <c r="W102" s="59">
        <v>586.05999999999995</v>
      </c>
      <c r="X102" s="99">
        <f>DATE(RIGHT(V102,4),MATCH(LEFT(V102,3),{"Jan","Feb","Mar","Apr","May","Jun","Jul","Aug","Sep","Oct","Nov","Dec"},0),MID(V102,5,2))</f>
        <v>45467</v>
      </c>
    </row>
    <row r="103" spans="1:24" x14ac:dyDescent="0.3">
      <c r="A103" s="99"/>
      <c r="B103" s="99">
        <v>46125</v>
      </c>
      <c r="C103" s="61">
        <v>2240.8000000000002</v>
      </c>
      <c r="D103" s="99"/>
      <c r="E103" s="99">
        <v>46125</v>
      </c>
      <c r="F103" s="94">
        <v>24353.55</v>
      </c>
      <c r="H103" s="99">
        <v>46125</v>
      </c>
      <c r="I103" s="94">
        <v>1285.5999999999999</v>
      </c>
      <c r="J103" s="99"/>
      <c r="K103" s="99">
        <v>46125</v>
      </c>
      <c r="L103" s="59">
        <v>757.3</v>
      </c>
      <c r="M103" s="147"/>
      <c r="N103" s="59" t="s">
        <v>428</v>
      </c>
      <c r="O103" s="94">
        <v>1312.23</v>
      </c>
      <c r="P103" s="99">
        <f>DATE(RIGHT(N103,4),MATCH(LEFT(N103,3),{"Jan","Feb","Mar","Apr","May","Jun","Jul","Aug","Sep","Oct","Nov","Dec"},0),MID(N103,5,2))</f>
        <v>45460</v>
      </c>
      <c r="R103" s="59" t="s">
        <v>428</v>
      </c>
      <c r="S103" s="59">
        <v>674.25</v>
      </c>
      <c r="T103" s="99">
        <f>DATE(RIGHT(R103,4),MATCH(LEFT(R103,3),{"Jan","Feb","Mar","Apr","May","Jun","Jul","Aug","Sep","Oct","Nov","Dec"},0),MID(R103,5,2))</f>
        <v>45460</v>
      </c>
      <c r="V103" s="59" t="s">
        <v>428</v>
      </c>
      <c r="W103" s="59">
        <v>575.57000000000005</v>
      </c>
      <c r="X103" s="99">
        <f>DATE(RIGHT(V103,4),MATCH(LEFT(V103,3),{"Jan","Feb","Mar","Apr","May","Jun","Jul","Aug","Sep","Oct","Nov","Dec"},0),MID(V103,5,2))</f>
        <v>45460</v>
      </c>
    </row>
    <row r="104" spans="1:24" x14ac:dyDescent="0.3">
      <c r="A104" s="99"/>
      <c r="B104" s="99">
        <v>46132</v>
      </c>
      <c r="C104" s="61">
        <v>2327.3000000000002</v>
      </c>
      <c r="D104" s="99"/>
      <c r="E104" s="99">
        <v>46132</v>
      </c>
      <c r="F104" s="94">
        <v>23897.95</v>
      </c>
      <c r="H104" s="99">
        <v>46132</v>
      </c>
      <c r="I104" s="94">
        <v>1421.3</v>
      </c>
      <c r="J104" s="99"/>
      <c r="K104" s="99">
        <v>46132</v>
      </c>
      <c r="L104" s="59">
        <v>783.3</v>
      </c>
      <c r="M104" s="147"/>
      <c r="N104" s="59" t="s">
        <v>429</v>
      </c>
      <c r="O104" s="94">
        <v>1347.14</v>
      </c>
      <c r="P104" s="99">
        <f>DATE(RIGHT(N104,4),MATCH(LEFT(N104,3),{"Jan","Feb","Mar","Apr","May","Jun","Jul","Aug","Sep","Oct","Nov","Dec"},0),MID(N104,5,2))</f>
        <v>45453</v>
      </c>
      <c r="R104" s="59" t="s">
        <v>429</v>
      </c>
      <c r="S104" s="59">
        <v>682.86</v>
      </c>
      <c r="T104" s="99">
        <f>DATE(RIGHT(R104,4),MATCH(LEFT(R104,3),{"Jan","Feb","Mar","Apr","May","Jun","Jul","Aug","Sep","Oct","Nov","Dec"},0),MID(R104,5,2))</f>
        <v>45453</v>
      </c>
      <c r="V104" s="59" t="s">
        <v>429</v>
      </c>
      <c r="W104" s="59">
        <v>593.80999999999995</v>
      </c>
      <c r="X104" s="99">
        <f>DATE(RIGHT(V104,4),MATCH(LEFT(V104,3),{"Jan","Feb","Mar","Apr","May","Jun","Jul","Aug","Sep","Oct","Nov","Dec"},0),MID(V104,5,2))</f>
        <v>45453</v>
      </c>
    </row>
    <row r="105" spans="1:24" x14ac:dyDescent="0.3">
      <c r="A105" s="99"/>
      <c r="B105" s="99">
        <v>46139</v>
      </c>
      <c r="C105" s="61">
        <v>2250.9</v>
      </c>
      <c r="D105" s="99"/>
      <c r="E105" s="99">
        <v>46139</v>
      </c>
      <c r="F105" s="94">
        <v>23997.55</v>
      </c>
      <c r="H105" s="99">
        <v>46139</v>
      </c>
      <c r="I105" s="94">
        <v>1458.6</v>
      </c>
      <c r="J105" s="99"/>
      <c r="K105" s="99">
        <v>46139</v>
      </c>
      <c r="L105" s="59">
        <v>775</v>
      </c>
      <c r="M105" s="147"/>
      <c r="N105" s="59" t="s">
        <v>430</v>
      </c>
      <c r="O105" s="94">
        <v>1380.94</v>
      </c>
      <c r="P105" s="99">
        <v>45446</v>
      </c>
      <c r="R105" s="59" t="s">
        <v>430</v>
      </c>
      <c r="S105" s="59">
        <v>694.64</v>
      </c>
      <c r="T105" s="99">
        <v>45446</v>
      </c>
      <c r="V105" s="59" t="s">
        <v>430</v>
      </c>
      <c r="W105" s="59">
        <v>598.16</v>
      </c>
      <c r="X105" s="99">
        <v>45446</v>
      </c>
    </row>
    <row r="106" spans="1:24" x14ac:dyDescent="0.3">
      <c r="A106" s="99"/>
      <c r="B106" s="99">
        <v>46146</v>
      </c>
      <c r="C106" s="61">
        <v>2287.6999999999998</v>
      </c>
      <c r="D106" s="99"/>
      <c r="E106" s="99">
        <v>46146</v>
      </c>
      <c r="F106" s="94">
        <v>24176.15</v>
      </c>
      <c r="H106" s="99">
        <v>46146</v>
      </c>
      <c r="I106" s="94">
        <v>1482.4</v>
      </c>
      <c r="J106" s="99"/>
      <c r="K106" s="99">
        <v>46146</v>
      </c>
      <c r="L106" s="59">
        <v>831.3</v>
      </c>
      <c r="M106" s="147"/>
      <c r="N106" s="59" t="s">
        <v>431</v>
      </c>
      <c r="O106" s="94">
        <v>1228.57</v>
      </c>
      <c r="P106" s="99">
        <f>DATE(RIGHT(N106,4),MATCH(LEFT(N106,3),{"Jan","Feb","Mar","Apr","May","Jun","Jul","Aug","Sep","Oct","Nov","Dec"},0),MID(N106,5,2))</f>
        <v>45439</v>
      </c>
      <c r="R106" s="59" t="s">
        <v>431</v>
      </c>
      <c r="S106" s="59">
        <v>601.59</v>
      </c>
      <c r="T106" s="99">
        <f>DATE(RIGHT(R106,4),MATCH(LEFT(R106,3),{"Jan","Feb","Mar","Apr","May","Jun","Jul","Aug","Sep","Oct","Nov","Dec"},0),MID(R106,5,2))</f>
        <v>45439</v>
      </c>
      <c r="V106" s="59" t="s">
        <v>431</v>
      </c>
      <c r="W106" s="59">
        <v>531.80999999999995</v>
      </c>
      <c r="X106" s="99">
        <f>DATE(RIGHT(V106,4),MATCH(LEFT(V106,3),{"Jan","Feb","Mar","Apr","May","Jun","Jul","Aug","Sep","Oct","Nov","Dec"},0),MID(V106,5,2))</f>
        <v>45439</v>
      </c>
    </row>
    <row r="107" spans="1:24" x14ac:dyDescent="0.3">
      <c r="A107" s="99"/>
      <c r="B107" s="99">
        <v>46153</v>
      </c>
      <c r="C107" s="61">
        <v>2262</v>
      </c>
      <c r="D107" s="99"/>
      <c r="E107" s="99">
        <v>46153</v>
      </c>
      <c r="F107" s="94">
        <v>23379.55</v>
      </c>
      <c r="H107" s="99">
        <v>46153</v>
      </c>
      <c r="I107" s="94">
        <v>1468.6</v>
      </c>
      <c r="J107" s="99"/>
      <c r="K107" s="99">
        <v>46153</v>
      </c>
      <c r="L107" s="59">
        <v>830</v>
      </c>
      <c r="M107" s="147"/>
      <c r="N107" s="59" t="s">
        <v>432</v>
      </c>
      <c r="O107" s="94">
        <v>1267.26</v>
      </c>
      <c r="P107" s="99">
        <f>DATE(RIGHT(N107,4),MATCH(LEFT(N107,3),{"Jan","Feb","Mar","Apr","May","Jun","Jul","Aug","Sep","Oct","Nov","Dec"},0),MID(N107,5,2))</f>
        <v>45432</v>
      </c>
      <c r="R107" s="59" t="s">
        <v>432</v>
      </c>
      <c r="S107" s="59">
        <v>523.97</v>
      </c>
      <c r="T107" s="99">
        <f>DATE(RIGHT(R107,4),MATCH(LEFT(R107,3),{"Jan","Feb","Mar","Apr","May","Jun","Jul","Aug","Sep","Oct","Nov","Dec"},0),MID(R107,5,2))</f>
        <v>45432</v>
      </c>
      <c r="V107" s="59" t="s">
        <v>432</v>
      </c>
      <c r="W107" s="59">
        <v>544.5</v>
      </c>
      <c r="X107" s="99">
        <f>DATE(RIGHT(V107,4),MATCH(LEFT(V107,3),{"Jan","Feb","Mar","Apr","May","Jun","Jul","Aug","Sep","Oct","Nov","Dec"},0),MID(V107,5,2))</f>
        <v>45432</v>
      </c>
    </row>
    <row r="108" spans="1:24" x14ac:dyDescent="0.3">
      <c r="A108" s="99"/>
      <c r="B108" s="99">
        <v>46155</v>
      </c>
      <c r="C108" s="61">
        <v>2270.6</v>
      </c>
      <c r="D108" s="99"/>
      <c r="E108" s="99">
        <v>46155</v>
      </c>
      <c r="F108" s="94">
        <v>23472.799999999999</v>
      </c>
      <c r="H108" s="99">
        <v>46155</v>
      </c>
      <c r="I108" s="94">
        <v>1468.9</v>
      </c>
      <c r="J108" s="99"/>
      <c r="K108" s="99">
        <v>46155</v>
      </c>
      <c r="L108" s="59">
        <v>833.4</v>
      </c>
      <c r="M108" s="147"/>
      <c r="N108" s="59" t="s">
        <v>433</v>
      </c>
      <c r="O108" s="94">
        <v>1247.28</v>
      </c>
      <c r="P108" s="99">
        <f>DATE(RIGHT(N108,4),MATCH(LEFT(N108,3),{"Jan","Feb","Mar","Apr","May","Jun","Jul","Aug","Sep","Oct","Nov","Dec"},0),MID(N108,5,2))</f>
        <v>45425</v>
      </c>
      <c r="R108" s="59" t="s">
        <v>433</v>
      </c>
      <c r="S108" s="59">
        <v>496.9</v>
      </c>
      <c r="T108" s="99">
        <f>DATE(RIGHT(R108,4),MATCH(LEFT(R108,3),{"Jan","Feb","Mar","Apr","May","Jun","Jul","Aug","Sep","Oct","Nov","Dec"},0),MID(R108,5,2))</f>
        <v>45425</v>
      </c>
      <c r="V108" s="59" t="s">
        <v>433</v>
      </c>
      <c r="W108" s="59">
        <v>526.84</v>
      </c>
      <c r="X108" s="99">
        <f>DATE(RIGHT(V108,4),MATCH(LEFT(V108,3),{"Jan","Feb","Mar","Apr","May","Jun","Jul","Aug","Sep","Oct","Nov","Dec"},0),MID(V108,5,2))</f>
        <v>45425</v>
      </c>
    </row>
    <row r="109" spans="1:24" x14ac:dyDescent="0.3">
      <c r="A109" s="99"/>
      <c r="M109" s="61"/>
    </row>
    <row r="110" spans="1:24" x14ac:dyDescent="0.3">
      <c r="A110" s="99"/>
      <c r="M110" s="61"/>
    </row>
    <row r="111" spans="1:24" x14ac:dyDescent="0.3">
      <c r="A111" s="99"/>
    </row>
    <row r="112" spans="1:24" x14ac:dyDescent="0.3">
      <c r="A112" s="99"/>
    </row>
    <row r="113" spans="1:1" x14ac:dyDescent="0.3">
      <c r="A113" s="99"/>
    </row>
    <row r="114" spans="1:1" x14ac:dyDescent="0.3">
      <c r="A114" s="99"/>
    </row>
    <row r="115" spans="1:1" x14ac:dyDescent="0.3">
      <c r="A115" s="99"/>
    </row>
    <row r="116" spans="1:1" x14ac:dyDescent="0.3">
      <c r="A116" s="99"/>
    </row>
    <row r="117" spans="1:1" x14ac:dyDescent="0.3">
      <c r="A117" s="99"/>
    </row>
    <row r="118" spans="1:1" x14ac:dyDescent="0.3">
      <c r="A118" s="99"/>
    </row>
    <row r="119" spans="1:1" x14ac:dyDescent="0.3">
      <c r="A119" s="99"/>
    </row>
    <row r="120" spans="1:1" x14ac:dyDescent="0.3">
      <c r="A120" s="99"/>
    </row>
    <row r="121" spans="1:1" x14ac:dyDescent="0.3">
      <c r="A121" s="99"/>
    </row>
    <row r="122" spans="1:1" x14ac:dyDescent="0.3">
      <c r="A122" s="99"/>
    </row>
    <row r="123" spans="1:1" x14ac:dyDescent="0.3">
      <c r="A123" s="99"/>
    </row>
    <row r="124" spans="1:1" x14ac:dyDescent="0.3">
      <c r="A124" s="99"/>
    </row>
    <row r="125" spans="1:1" x14ac:dyDescent="0.3">
      <c r="A125" s="99"/>
    </row>
    <row r="126" spans="1:1" x14ac:dyDescent="0.3">
      <c r="A126" s="99"/>
    </row>
    <row r="127" spans="1:1" x14ac:dyDescent="0.3">
      <c r="A127" s="99"/>
    </row>
    <row r="128" spans="1:1" x14ac:dyDescent="0.3">
      <c r="A128" s="99"/>
    </row>
    <row r="129" spans="1:1" x14ac:dyDescent="0.3">
      <c r="A129" s="99"/>
    </row>
    <row r="130" spans="1:1" x14ac:dyDescent="0.3">
      <c r="A130" s="99"/>
    </row>
    <row r="131" spans="1:1" x14ac:dyDescent="0.3">
      <c r="A131" s="99"/>
    </row>
    <row r="132" spans="1:1" x14ac:dyDescent="0.3">
      <c r="A132" s="99"/>
    </row>
    <row r="133" spans="1:1" x14ac:dyDescent="0.3">
      <c r="A133" s="99"/>
    </row>
    <row r="134" spans="1:1" x14ac:dyDescent="0.3">
      <c r="A134" s="99"/>
    </row>
    <row r="135" spans="1:1" x14ac:dyDescent="0.3">
      <c r="A135" s="99"/>
    </row>
    <row r="136" spans="1:1" x14ac:dyDescent="0.3">
      <c r="A136" s="99"/>
    </row>
    <row r="137" spans="1:1" x14ac:dyDescent="0.3">
      <c r="A137" s="99"/>
    </row>
    <row r="138" spans="1:1" x14ac:dyDescent="0.3">
      <c r="A138" s="99"/>
    </row>
    <row r="139" spans="1:1" x14ac:dyDescent="0.3">
      <c r="A139" s="99"/>
    </row>
    <row r="140" spans="1:1" x14ac:dyDescent="0.3">
      <c r="A140" s="99"/>
    </row>
    <row r="141" spans="1:1" x14ac:dyDescent="0.3">
      <c r="A141" s="99"/>
    </row>
    <row r="142" spans="1:1" x14ac:dyDescent="0.3">
      <c r="A142" s="99"/>
    </row>
    <row r="143" spans="1:1" x14ac:dyDescent="0.3">
      <c r="A143" s="99"/>
    </row>
    <row r="144" spans="1:1" x14ac:dyDescent="0.3">
      <c r="A144" s="99"/>
    </row>
    <row r="145" spans="1:1" x14ac:dyDescent="0.3">
      <c r="A145" s="99"/>
    </row>
    <row r="146" spans="1:1" x14ac:dyDescent="0.3">
      <c r="A146" s="99"/>
    </row>
    <row r="147" spans="1:1" x14ac:dyDescent="0.3">
      <c r="A147" s="99"/>
    </row>
    <row r="148" spans="1:1" x14ac:dyDescent="0.3">
      <c r="A148" s="99"/>
    </row>
    <row r="149" spans="1:1" x14ac:dyDescent="0.3">
      <c r="A149" s="99"/>
    </row>
    <row r="150" spans="1:1" x14ac:dyDescent="0.3">
      <c r="A150" s="99"/>
    </row>
    <row r="151" spans="1:1" x14ac:dyDescent="0.3">
      <c r="A151" s="99"/>
    </row>
    <row r="152" spans="1:1" x14ac:dyDescent="0.3">
      <c r="A152" s="99"/>
    </row>
    <row r="153" spans="1:1" x14ac:dyDescent="0.3">
      <c r="A153" s="99"/>
    </row>
    <row r="154" spans="1:1" x14ac:dyDescent="0.3">
      <c r="A154" s="99"/>
    </row>
    <row r="155" spans="1:1" x14ac:dyDescent="0.3">
      <c r="A155" s="99"/>
    </row>
    <row r="156" spans="1:1" x14ac:dyDescent="0.3">
      <c r="A156" s="99"/>
    </row>
    <row r="157" spans="1:1" x14ac:dyDescent="0.3">
      <c r="A157" s="99"/>
    </row>
    <row r="158" spans="1:1" x14ac:dyDescent="0.3">
      <c r="A158" s="99"/>
    </row>
    <row r="159" spans="1:1" x14ac:dyDescent="0.3">
      <c r="A159" s="99"/>
    </row>
    <row r="160" spans="1:1" x14ac:dyDescent="0.3">
      <c r="A160" s="99"/>
    </row>
    <row r="161" spans="1:1" x14ac:dyDescent="0.3">
      <c r="A161" s="99"/>
    </row>
    <row r="162" spans="1:1" x14ac:dyDescent="0.3">
      <c r="A162" s="99"/>
    </row>
    <row r="163" spans="1:1" x14ac:dyDescent="0.3">
      <c r="A163" s="99"/>
    </row>
    <row r="164" spans="1:1" x14ac:dyDescent="0.3">
      <c r="A164" s="99"/>
    </row>
    <row r="165" spans="1:1" x14ac:dyDescent="0.3">
      <c r="A165" s="99"/>
    </row>
    <row r="166" spans="1:1" x14ac:dyDescent="0.3">
      <c r="A166" s="99"/>
    </row>
    <row r="167" spans="1:1" x14ac:dyDescent="0.3">
      <c r="A167" s="99"/>
    </row>
    <row r="168" spans="1:1" x14ac:dyDescent="0.3">
      <c r="A168" s="99"/>
    </row>
    <row r="169" spans="1:1" x14ac:dyDescent="0.3">
      <c r="A169" s="99"/>
    </row>
    <row r="170" spans="1:1" x14ac:dyDescent="0.3">
      <c r="A170" s="99"/>
    </row>
    <row r="171" spans="1:1" x14ac:dyDescent="0.3">
      <c r="A171" s="99"/>
    </row>
    <row r="172" spans="1:1" x14ac:dyDescent="0.3">
      <c r="A172" s="99"/>
    </row>
    <row r="173" spans="1:1" x14ac:dyDescent="0.3">
      <c r="A173" s="99"/>
    </row>
    <row r="174" spans="1:1" x14ac:dyDescent="0.3">
      <c r="A174" s="99"/>
    </row>
    <row r="175" spans="1:1" x14ac:dyDescent="0.3">
      <c r="A175" s="99"/>
    </row>
    <row r="176" spans="1:1" x14ac:dyDescent="0.3">
      <c r="A176" s="99"/>
    </row>
    <row r="177" spans="1:1" x14ac:dyDescent="0.3">
      <c r="A177" s="99"/>
    </row>
    <row r="178" spans="1:1" x14ac:dyDescent="0.3">
      <c r="A178" s="99"/>
    </row>
    <row r="179" spans="1:1" x14ac:dyDescent="0.3">
      <c r="A179" s="99"/>
    </row>
    <row r="180" spans="1:1" x14ac:dyDescent="0.3">
      <c r="A180" s="99"/>
    </row>
    <row r="181" spans="1:1" x14ac:dyDescent="0.3">
      <c r="A181" s="99"/>
    </row>
    <row r="182" spans="1:1" x14ac:dyDescent="0.3">
      <c r="A182" s="99"/>
    </row>
    <row r="183" spans="1:1" x14ac:dyDescent="0.3">
      <c r="A183" s="99"/>
    </row>
    <row r="184" spans="1:1" x14ac:dyDescent="0.3">
      <c r="A184" s="99"/>
    </row>
    <row r="185" spans="1:1" x14ac:dyDescent="0.3">
      <c r="A185" s="99"/>
    </row>
    <row r="186" spans="1:1" x14ac:dyDescent="0.3">
      <c r="A186" s="99"/>
    </row>
    <row r="187" spans="1:1" x14ac:dyDescent="0.3">
      <c r="A187" s="99"/>
    </row>
    <row r="188" spans="1:1" x14ac:dyDescent="0.3">
      <c r="A188" s="99"/>
    </row>
    <row r="189" spans="1:1" x14ac:dyDescent="0.3">
      <c r="A189" s="99"/>
    </row>
    <row r="190" spans="1:1" x14ac:dyDescent="0.3">
      <c r="A190" s="99"/>
    </row>
    <row r="191" spans="1:1" x14ac:dyDescent="0.3">
      <c r="A191" s="99"/>
    </row>
    <row r="192" spans="1:1" x14ac:dyDescent="0.3">
      <c r="A192" s="99"/>
    </row>
    <row r="193" spans="1:1" x14ac:dyDescent="0.3">
      <c r="A193" s="99"/>
    </row>
    <row r="194" spans="1:1" x14ac:dyDescent="0.3">
      <c r="A194" s="99"/>
    </row>
    <row r="195" spans="1:1" x14ac:dyDescent="0.3">
      <c r="A195" s="99"/>
    </row>
    <row r="196" spans="1:1" x14ac:dyDescent="0.3">
      <c r="A196" s="99"/>
    </row>
    <row r="197" spans="1:1" x14ac:dyDescent="0.3">
      <c r="A197" s="99"/>
    </row>
    <row r="198" spans="1:1" x14ac:dyDescent="0.3">
      <c r="A198" s="99"/>
    </row>
    <row r="199" spans="1:1" x14ac:dyDescent="0.3">
      <c r="A199" s="99"/>
    </row>
    <row r="200" spans="1:1" x14ac:dyDescent="0.3">
      <c r="A200" s="99"/>
    </row>
    <row r="201" spans="1:1" x14ac:dyDescent="0.3">
      <c r="A201" s="99"/>
    </row>
    <row r="202" spans="1:1" x14ac:dyDescent="0.3">
      <c r="A202" s="99"/>
    </row>
    <row r="203" spans="1:1" x14ac:dyDescent="0.3">
      <c r="A203" s="99"/>
    </row>
    <row r="204" spans="1:1" x14ac:dyDescent="0.3">
      <c r="A204" s="99"/>
    </row>
    <row r="205" spans="1:1" x14ac:dyDescent="0.3">
      <c r="A205" s="99"/>
    </row>
    <row r="206" spans="1:1" x14ac:dyDescent="0.3">
      <c r="A206" s="99"/>
    </row>
    <row r="207" spans="1:1" x14ac:dyDescent="0.3">
      <c r="A207" s="99"/>
    </row>
    <row r="208" spans="1:1" x14ac:dyDescent="0.3">
      <c r="A208" s="99"/>
    </row>
    <row r="209" spans="1:1" x14ac:dyDescent="0.3">
      <c r="A209" s="99"/>
    </row>
    <row r="210" spans="1:1" x14ac:dyDescent="0.3">
      <c r="A210" s="99"/>
    </row>
    <row r="211" spans="1:1" x14ac:dyDescent="0.3">
      <c r="A211" s="99"/>
    </row>
    <row r="212" spans="1:1" x14ac:dyDescent="0.3">
      <c r="A212" s="99"/>
    </row>
    <row r="213" spans="1:1" x14ac:dyDescent="0.3">
      <c r="A213" s="99"/>
    </row>
    <row r="214" spans="1:1" x14ac:dyDescent="0.3">
      <c r="A214" s="99"/>
    </row>
    <row r="215" spans="1:1" x14ac:dyDescent="0.3">
      <c r="A215" s="99"/>
    </row>
    <row r="216" spans="1:1" x14ac:dyDescent="0.3">
      <c r="A216" s="99"/>
    </row>
    <row r="217" spans="1:1" x14ac:dyDescent="0.3">
      <c r="A217" s="99"/>
    </row>
    <row r="218" spans="1:1" x14ac:dyDescent="0.3">
      <c r="A218" s="99"/>
    </row>
    <row r="219" spans="1:1" x14ac:dyDescent="0.3">
      <c r="A219" s="99"/>
    </row>
    <row r="220" spans="1:1" x14ac:dyDescent="0.3">
      <c r="A220" s="99"/>
    </row>
    <row r="221" spans="1:1" x14ac:dyDescent="0.3">
      <c r="A221" s="99"/>
    </row>
    <row r="222" spans="1:1" x14ac:dyDescent="0.3">
      <c r="A222" s="99"/>
    </row>
    <row r="223" spans="1:1" x14ac:dyDescent="0.3">
      <c r="A223" s="99"/>
    </row>
    <row r="224" spans="1:1" x14ac:dyDescent="0.3">
      <c r="A224" s="99"/>
    </row>
    <row r="225" spans="1:1" x14ac:dyDescent="0.3">
      <c r="A225" s="99"/>
    </row>
    <row r="226" spans="1:1" x14ac:dyDescent="0.3">
      <c r="A226" s="99"/>
    </row>
    <row r="227" spans="1:1" x14ac:dyDescent="0.3">
      <c r="A227" s="99"/>
    </row>
    <row r="228" spans="1:1" x14ac:dyDescent="0.3">
      <c r="A228" s="99"/>
    </row>
    <row r="229" spans="1:1" x14ac:dyDescent="0.3">
      <c r="A229" s="99"/>
    </row>
    <row r="230" spans="1:1" x14ac:dyDescent="0.3">
      <c r="A230" s="99"/>
    </row>
    <row r="231" spans="1:1" x14ac:dyDescent="0.3">
      <c r="A231" s="99"/>
    </row>
    <row r="232" spans="1:1" x14ac:dyDescent="0.3">
      <c r="A232" s="99"/>
    </row>
    <row r="233" spans="1:1" x14ac:dyDescent="0.3">
      <c r="A233" s="99"/>
    </row>
    <row r="234" spans="1:1" x14ac:dyDescent="0.3">
      <c r="A234" s="99"/>
    </row>
    <row r="235" spans="1:1" x14ac:dyDescent="0.3">
      <c r="A235" s="99"/>
    </row>
    <row r="236" spans="1:1" x14ac:dyDescent="0.3">
      <c r="A236" s="99"/>
    </row>
    <row r="237" spans="1:1" x14ac:dyDescent="0.3">
      <c r="A237" s="99"/>
    </row>
    <row r="238" spans="1:1" x14ac:dyDescent="0.3">
      <c r="A238" s="99"/>
    </row>
    <row r="239" spans="1:1" x14ac:dyDescent="0.3">
      <c r="A239" s="99"/>
    </row>
    <row r="240" spans="1:1" x14ac:dyDescent="0.3">
      <c r="A240" s="99"/>
    </row>
    <row r="241" spans="1:1" x14ac:dyDescent="0.3">
      <c r="A241" s="99"/>
    </row>
    <row r="242" spans="1:1" x14ac:dyDescent="0.3">
      <c r="A242" s="99"/>
    </row>
    <row r="243" spans="1:1" x14ac:dyDescent="0.3">
      <c r="A243" s="99"/>
    </row>
    <row r="244" spans="1:1" x14ac:dyDescent="0.3">
      <c r="A244" s="99"/>
    </row>
    <row r="245" spans="1:1" x14ac:dyDescent="0.3">
      <c r="A245" s="99"/>
    </row>
    <row r="335" spans="2:2" x14ac:dyDescent="0.3">
      <c r="B335" s="99">
        <v>46146</v>
      </c>
    </row>
  </sheetData>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A483-865C-46DE-A25E-A5A8536D5AC4}">
  <sheetPr>
    <tabColor rgb="FFFF0000"/>
  </sheetPr>
  <dimension ref="B2:G335"/>
  <sheetViews>
    <sheetView showGridLines="0" workbookViewId="0">
      <selection activeCell="I24" sqref="I24"/>
    </sheetView>
  </sheetViews>
  <sheetFormatPr defaultRowHeight="14.4" x14ac:dyDescent="0.3"/>
  <cols>
    <col min="1" max="1" width="1.88671875" style="59" customWidth="1"/>
    <col min="2" max="2" width="5.44140625" style="59" bestFit="1" customWidth="1"/>
    <col min="3" max="3" width="15.33203125" style="59" bestFit="1" customWidth="1"/>
    <col min="4" max="4" width="7.6640625" style="59" bestFit="1" customWidth="1"/>
    <col min="5" max="5" width="13.6640625" style="59" bestFit="1" customWidth="1"/>
    <col min="6" max="6" width="10.109375" style="59" bestFit="1" customWidth="1"/>
    <col min="7" max="7" width="8.5546875" style="59" bestFit="1" customWidth="1"/>
    <col min="8" max="16384" width="8.88671875" style="59"/>
  </cols>
  <sheetData>
    <row r="2" spans="2:7" x14ac:dyDescent="0.3">
      <c r="B2" s="59" t="s">
        <v>261</v>
      </c>
      <c r="C2" s="59" t="s">
        <v>260</v>
      </c>
      <c r="D2" s="59" t="s">
        <v>259</v>
      </c>
      <c r="E2" s="59" t="s">
        <v>258</v>
      </c>
      <c r="F2" s="59" t="s">
        <v>257</v>
      </c>
      <c r="G2" s="59" t="s">
        <v>256</v>
      </c>
    </row>
    <row r="3" spans="2:7" x14ac:dyDescent="0.3">
      <c r="B3" s="97">
        <v>1</v>
      </c>
      <c r="C3" s="135" t="s">
        <v>315</v>
      </c>
      <c r="D3" s="135">
        <v>2256.65</v>
      </c>
      <c r="E3" s="136">
        <v>530220.51</v>
      </c>
      <c r="F3" s="135">
        <v>1478</v>
      </c>
      <c r="G3" s="77">
        <v>0.03</v>
      </c>
    </row>
    <row r="4" spans="2:7" x14ac:dyDescent="0.3">
      <c r="B4" s="97">
        <v>2</v>
      </c>
      <c r="C4" s="59" t="s">
        <v>318</v>
      </c>
      <c r="D4" s="59">
        <v>1471</v>
      </c>
      <c r="E4" s="59">
        <v>283655.02</v>
      </c>
      <c r="F4" s="59">
        <v>444.16</v>
      </c>
      <c r="G4" s="59">
        <v>0.08</v>
      </c>
    </row>
    <row r="5" spans="2:7" x14ac:dyDescent="0.3">
      <c r="B5" s="97">
        <v>3</v>
      </c>
      <c r="C5" s="59" t="s">
        <v>316</v>
      </c>
      <c r="D5" s="59">
        <v>828.1</v>
      </c>
      <c r="E5" s="59">
        <v>107499.72</v>
      </c>
      <c r="F5" s="59">
        <v>557</v>
      </c>
      <c r="G5" s="59">
        <v>0.13</v>
      </c>
    </row>
    <row r="6" spans="2:7" x14ac:dyDescent="0.3">
      <c r="B6" s="97">
        <v>4</v>
      </c>
      <c r="C6" s="59" t="s">
        <v>320</v>
      </c>
      <c r="D6" s="59">
        <v>1023</v>
      </c>
      <c r="E6" s="59">
        <v>104677.93</v>
      </c>
      <c r="F6" s="59">
        <v>4415.8100000000004</v>
      </c>
      <c r="G6" s="59">
        <v>0.35</v>
      </c>
    </row>
    <row r="7" spans="2:7" x14ac:dyDescent="0.3">
      <c r="B7" s="97">
        <v>5</v>
      </c>
      <c r="C7" s="59" t="s">
        <v>319</v>
      </c>
      <c r="D7" s="59">
        <v>473.55</v>
      </c>
      <c r="E7" s="59">
        <v>83993.12</v>
      </c>
      <c r="F7" s="59">
        <v>1287.32</v>
      </c>
      <c r="G7" s="59">
        <v>0.11</v>
      </c>
    </row>
    <row r="8" spans="2:7" x14ac:dyDescent="0.3">
      <c r="B8" s="97">
        <v>6</v>
      </c>
      <c r="C8" s="59" t="s">
        <v>317</v>
      </c>
      <c r="D8" s="59">
        <v>432.25</v>
      </c>
      <c r="E8" s="59">
        <v>18867.72</v>
      </c>
      <c r="F8" s="59">
        <v>71.959999999999994</v>
      </c>
      <c r="G8" s="59">
        <v>0.02</v>
      </c>
    </row>
    <row r="9" spans="2:7" x14ac:dyDescent="0.3">
      <c r="B9" s="97"/>
    </row>
    <row r="10" spans="2:7" x14ac:dyDescent="0.3">
      <c r="B10" s="97"/>
    </row>
    <row r="11" spans="2:7" x14ac:dyDescent="0.3">
      <c r="B11" s="97"/>
    </row>
    <row r="12" spans="2:7" x14ac:dyDescent="0.3">
      <c r="B12" s="97"/>
    </row>
    <row r="13" spans="2:7" x14ac:dyDescent="0.3">
      <c r="B13" s="97"/>
    </row>
    <row r="14" spans="2:7" x14ac:dyDescent="0.3">
      <c r="B14" s="97"/>
    </row>
    <row r="15" spans="2:7" x14ac:dyDescent="0.3">
      <c r="B15" s="97"/>
    </row>
    <row r="16" spans="2:7" x14ac:dyDescent="0.3">
      <c r="B16" s="97"/>
    </row>
    <row r="17" spans="2:2" x14ac:dyDescent="0.3">
      <c r="B17" s="97"/>
    </row>
    <row r="335" spans="2:2" x14ac:dyDescent="0.3">
      <c r="B335" s="99">
        <v>46146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068C-273A-42A8-8D4B-B0A75A022E19}">
  <sheetPr>
    <tabColor rgb="FFFF0000"/>
  </sheetPr>
  <dimension ref="B2:N8"/>
  <sheetViews>
    <sheetView showGridLines="0" workbookViewId="0">
      <selection activeCell="C8" sqref="C8"/>
    </sheetView>
  </sheetViews>
  <sheetFormatPr defaultRowHeight="14.4" x14ac:dyDescent="0.3"/>
  <cols>
    <col min="1" max="1" width="1.88671875" customWidth="1"/>
    <col min="2" max="2" width="5.44140625" bestFit="1" customWidth="1"/>
    <col min="3" max="3" width="15.21875" bestFit="1" customWidth="1"/>
    <col min="4" max="4" width="15.21875" customWidth="1"/>
    <col min="5" max="5" width="8" bestFit="1" customWidth="1"/>
    <col min="6" max="6" width="15.6640625" bestFit="1" customWidth="1"/>
    <col min="7" max="7" width="13.6640625" bestFit="1" customWidth="1"/>
    <col min="8" max="8" width="10.109375" bestFit="1" customWidth="1"/>
    <col min="9" max="9" width="13.6640625" bestFit="1" customWidth="1"/>
    <col min="10" max="10" width="13.6640625" customWidth="1"/>
    <col min="11" max="11" width="10" bestFit="1" customWidth="1"/>
    <col min="12" max="12" width="10.33203125" bestFit="1" customWidth="1"/>
    <col min="13" max="13" width="14.77734375" bestFit="1" customWidth="1"/>
    <col min="14" max="14" width="12.109375" bestFit="1" customWidth="1"/>
  </cols>
  <sheetData>
    <row r="2" spans="2:14" x14ac:dyDescent="0.3">
      <c r="B2" t="s">
        <v>261</v>
      </c>
      <c r="C2" t="s">
        <v>260</v>
      </c>
      <c r="D2" t="s">
        <v>478</v>
      </c>
      <c r="E2" t="s">
        <v>259</v>
      </c>
      <c r="F2" t="s">
        <v>495</v>
      </c>
      <c r="G2" t="s">
        <v>258</v>
      </c>
      <c r="H2" t="s">
        <v>257</v>
      </c>
      <c r="I2" t="s">
        <v>496</v>
      </c>
      <c r="J2" t="s">
        <v>501</v>
      </c>
      <c r="K2" t="s">
        <v>497</v>
      </c>
      <c r="L2" t="s">
        <v>498</v>
      </c>
      <c r="M2" t="s">
        <v>499</v>
      </c>
      <c r="N2" t="s">
        <v>500</v>
      </c>
    </row>
    <row r="3" spans="2:14" x14ac:dyDescent="0.3">
      <c r="B3">
        <v>1</v>
      </c>
      <c r="C3" t="s">
        <v>494</v>
      </c>
      <c r="D3" t="s">
        <v>507</v>
      </c>
      <c r="E3">
        <v>2256.3000000000002</v>
      </c>
      <c r="F3">
        <v>234.96</v>
      </c>
      <c r="G3">
        <v>530138.31000000006</v>
      </c>
      <c r="H3">
        <v>1478</v>
      </c>
      <c r="I3">
        <v>3248</v>
      </c>
      <c r="J3">
        <f>G3+H3-I3</f>
        <v>528368.31000000006</v>
      </c>
      <c r="K3">
        <v>528368.31000000006</v>
      </c>
      <c r="L3">
        <v>64468</v>
      </c>
      <c r="M3">
        <v>15790</v>
      </c>
      <c r="N3">
        <v>15059</v>
      </c>
    </row>
    <row r="4" spans="2:14" x14ac:dyDescent="0.3">
      <c r="B4">
        <v>2</v>
      </c>
      <c r="C4" t="s">
        <v>318</v>
      </c>
      <c r="D4" t="s">
        <v>506</v>
      </c>
      <c r="E4">
        <v>1466</v>
      </c>
      <c r="F4">
        <v>192.83</v>
      </c>
      <c r="G4">
        <v>282690.90000000002</v>
      </c>
      <c r="H4">
        <v>444.16</v>
      </c>
      <c r="I4">
        <v>1340.87</v>
      </c>
      <c r="J4">
        <f t="shared" ref="J4:J8" si="0">G4+H4-I4</f>
        <v>281794.19</v>
      </c>
      <c r="K4">
        <v>281794.19</v>
      </c>
      <c r="L4">
        <v>23154.6</v>
      </c>
      <c r="M4">
        <v>5346.41</v>
      </c>
      <c r="N4">
        <v>3544.6</v>
      </c>
    </row>
    <row r="5" spans="2:14" x14ac:dyDescent="0.3">
      <c r="B5">
        <v>3</v>
      </c>
      <c r="C5" t="s">
        <v>316</v>
      </c>
      <c r="D5" t="s">
        <v>505</v>
      </c>
      <c r="E5">
        <v>838.35</v>
      </c>
      <c r="F5">
        <v>129.81</v>
      </c>
      <c r="G5">
        <v>108830.28</v>
      </c>
      <c r="H5">
        <v>557</v>
      </c>
      <c r="I5">
        <v>493</v>
      </c>
      <c r="J5">
        <f t="shared" si="0"/>
        <v>108894.28</v>
      </c>
      <c r="K5">
        <v>108894.28</v>
      </c>
      <c r="L5">
        <v>13611</v>
      </c>
      <c r="M5">
        <v>2532</v>
      </c>
      <c r="N5">
        <v>1813</v>
      </c>
    </row>
    <row r="6" spans="2:14" x14ac:dyDescent="0.3">
      <c r="B6">
        <v>4</v>
      </c>
      <c r="C6" t="s">
        <v>320</v>
      </c>
      <c r="D6" t="s">
        <v>504</v>
      </c>
      <c r="E6">
        <v>1023.45</v>
      </c>
      <c r="F6">
        <v>102.32</v>
      </c>
      <c r="G6">
        <v>104723.99</v>
      </c>
      <c r="H6">
        <v>4415.8100000000004</v>
      </c>
      <c r="I6">
        <v>1005.41</v>
      </c>
      <c r="J6">
        <f t="shared" si="0"/>
        <v>108134.39</v>
      </c>
      <c r="K6">
        <v>108134.39</v>
      </c>
      <c r="L6">
        <v>15177.9</v>
      </c>
      <c r="M6">
        <v>3422.41</v>
      </c>
      <c r="N6">
        <v>1861.47</v>
      </c>
    </row>
    <row r="7" spans="2:14" x14ac:dyDescent="0.3">
      <c r="B7">
        <v>5</v>
      </c>
      <c r="C7" t="s">
        <v>319</v>
      </c>
      <c r="D7" t="s">
        <v>503</v>
      </c>
      <c r="E7">
        <v>460.15</v>
      </c>
      <c r="F7">
        <v>177.37</v>
      </c>
      <c r="G7">
        <v>81616.350000000006</v>
      </c>
      <c r="H7">
        <v>1287.32</v>
      </c>
      <c r="I7">
        <v>562.07000000000005</v>
      </c>
      <c r="J7">
        <f t="shared" si="0"/>
        <v>82341.600000000006</v>
      </c>
      <c r="K7">
        <v>82341.600000000006</v>
      </c>
      <c r="L7">
        <v>13192.57</v>
      </c>
      <c r="M7">
        <v>3049.81</v>
      </c>
      <c r="N7">
        <v>1868.69</v>
      </c>
    </row>
    <row r="8" spans="2:14" x14ac:dyDescent="0.3">
      <c r="B8">
        <v>6</v>
      </c>
      <c r="C8" t="s">
        <v>317</v>
      </c>
      <c r="D8" t="s">
        <v>502</v>
      </c>
      <c r="E8">
        <v>426.85</v>
      </c>
      <c r="F8">
        <v>43.65</v>
      </c>
      <c r="G8">
        <v>18632.009999999998</v>
      </c>
      <c r="H8">
        <v>71.959999999999994</v>
      </c>
      <c r="I8">
        <v>272.89999999999998</v>
      </c>
      <c r="J8">
        <f t="shared" si="0"/>
        <v>18431.069999999996</v>
      </c>
      <c r="K8">
        <v>18475.62</v>
      </c>
      <c r="L8">
        <v>3817.46</v>
      </c>
      <c r="M8">
        <v>1043.04</v>
      </c>
      <c r="N8">
        <v>802.75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Financials&gt;</vt:lpstr>
      <vt:lpstr>HistoricalFS</vt:lpstr>
      <vt:lpstr>Common Size Statement</vt:lpstr>
      <vt:lpstr>Ratio Analysis</vt:lpstr>
      <vt:lpstr>Forecasting</vt:lpstr>
      <vt:lpstr>DCF&gt;</vt:lpstr>
      <vt:lpstr>DCF</vt:lpstr>
      <vt:lpstr>WACC</vt:lpstr>
      <vt:lpstr>Beta - Regression</vt:lpstr>
      <vt:lpstr>Intrinsic Growth</vt:lpstr>
      <vt:lpstr>RM</vt:lpstr>
      <vt:lpstr>Football Field</vt:lpstr>
      <vt:lpstr>Comps Val</vt:lpstr>
      <vt:lpstr>Data&gt;</vt:lpstr>
      <vt:lpstr>Data Sheet</vt:lpstr>
      <vt:lpstr>Raw FS</vt:lpstr>
      <vt:lpstr>Cash Flow Data</vt:lpstr>
      <vt:lpstr>Data Sheet Beta</vt:lpstr>
      <vt:lpstr>Beta - Comps</vt:lpstr>
      <vt:lpstr>Data Sheet Relative Valuation</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Jashit</cp:lastModifiedBy>
  <cp:lastPrinted>2012-12-06T18:14:13Z</cp:lastPrinted>
  <dcterms:created xsi:type="dcterms:W3CDTF">2012-08-17T09:55:37Z</dcterms:created>
  <dcterms:modified xsi:type="dcterms:W3CDTF">2026-05-14T05:47:06Z</dcterms:modified>
</cp:coreProperties>
</file>